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9F\EXCELCNV\7c61daf0-bcac-496e-a8f5-48deb50ef249\"/>
    </mc:Choice>
  </mc:AlternateContent>
  <xr:revisionPtr revIDLastSave="0" documentId="8_{A87E9407-57FE-458A-BEE8-99333EF07946}" xr6:coauthVersionLast="47" xr6:coauthVersionMax="47" xr10:uidLastSave="{00000000-0000-0000-0000-000000000000}"/>
  <bookViews>
    <workbookView xWindow="-60" yWindow="-60" windowWidth="15480" windowHeight="11640" firstSheet="2" activeTab="2" xr2:uid="{C68B205A-B466-4431-B2B6-22692B670E11}"/>
  </bookViews>
  <sheets>
    <sheet name="Table1" sheetId="1" r:id="rId1"/>
    <sheet name="Pivot Table" sheetId="3" r:id="rId2"/>
    <sheet name="dashboard" sheetId="2" r:id="rId3"/>
  </sheets>
  <definedNames>
    <definedName name="Slicer_Service_Type">#N/A</definedName>
  </definedNames>
  <calcPr calcId="191028"/>
  <pivotCaches>
    <pivotCache cacheId="369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</calcChain>
</file>

<file path=xl/sharedStrings.xml><?xml version="1.0" encoding="utf-8"?>
<sst xmlns="http://schemas.openxmlformats.org/spreadsheetml/2006/main" count="1581" uniqueCount="60">
  <si>
    <t>Vehicle_ID</t>
  </si>
  <si>
    <t>Vehicle_Model</t>
  </si>
  <si>
    <t>Service_Date</t>
  </si>
  <si>
    <t>Service_Type</t>
  </si>
  <si>
    <t>Mechanic_Name</t>
  </si>
  <si>
    <t>Cost</t>
  </si>
  <si>
    <t>Month</t>
  </si>
  <si>
    <t>Chevrolet Equinox</t>
  </si>
  <si>
    <t>Battery Replacement</t>
  </si>
  <si>
    <t>Chris Evans</t>
  </si>
  <si>
    <t>Honda CR-V</t>
  </si>
  <si>
    <t>Headlight Replacement</t>
  </si>
  <si>
    <t>Sarah Davis</t>
  </si>
  <si>
    <t>Nissan Altima</t>
  </si>
  <si>
    <t>Wheel Alignment</t>
  </si>
  <si>
    <t>Ford F-150</t>
  </si>
  <si>
    <t>John Doe</t>
  </si>
  <si>
    <t>Ford Ranger</t>
  </si>
  <si>
    <t>Robert Johnson</t>
  </si>
  <si>
    <t>Chevrolet Silverado</t>
  </si>
  <si>
    <t>Emily White</t>
  </si>
  <si>
    <t>Toyota Camry</t>
  </si>
  <si>
    <t>Jeep Wrangler</t>
  </si>
  <si>
    <t>Fluid Flush</t>
  </si>
  <si>
    <t>Michael Brown</t>
  </si>
  <si>
    <t>Ford Explorer</t>
  </si>
  <si>
    <t>Transmission Fluid Change</t>
  </si>
  <si>
    <t>Peter Jones</t>
  </si>
  <si>
    <t>Toyota RAV4</t>
  </si>
  <si>
    <t>Brake Pad Replacement</t>
  </si>
  <si>
    <t>Engine Tune-up</t>
  </si>
  <si>
    <t>Maria Garcia</t>
  </si>
  <si>
    <t>Honda Accord</t>
  </si>
  <si>
    <t>Brake Inspection</t>
  </si>
  <si>
    <t>Tire Rotation</t>
  </si>
  <si>
    <t>Oil Change</t>
  </si>
  <si>
    <t>Subaru Outback</t>
  </si>
  <si>
    <t>Ford Mustang</t>
  </si>
  <si>
    <t>Spark Plug Replacement</t>
  </si>
  <si>
    <t>Ford Escape</t>
  </si>
  <si>
    <t>Starter Replacement</t>
  </si>
  <si>
    <t>Subaru Crosstrek</t>
  </si>
  <si>
    <t>Unknown</t>
  </si>
  <si>
    <t>Tesla Model 3</t>
  </si>
  <si>
    <t>Ram 1500</t>
  </si>
  <si>
    <t>Honda Pilot</t>
  </si>
  <si>
    <t>David Lee</t>
  </si>
  <si>
    <t>Jane Smith</t>
  </si>
  <si>
    <t>Honda Civic</t>
  </si>
  <si>
    <t>Nissan Titan</t>
  </si>
  <si>
    <t>Average Cost of Each Service</t>
  </si>
  <si>
    <t>Average of Cost</t>
  </si>
  <si>
    <t>Grand Total</t>
  </si>
  <si>
    <t>Vehicle Model with the Highest number of servicing</t>
  </si>
  <si>
    <t>Count of Service_Type</t>
  </si>
  <si>
    <t>Highest Paid Mechanic by Cost</t>
  </si>
  <si>
    <t>Sum of Cost</t>
  </si>
  <si>
    <t>Number of services by service type</t>
  </si>
  <si>
    <t>Count of Vehicle_ID</t>
  </si>
  <si>
    <t>Vehicle Maintenance &amp; Service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</si>
</sst>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0"/>
      <color rgb="FFFFFFFF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0" fillId="0" borderId="0" xfId="0" applyAlignment="1"/>
    <xf numFmtId="0" fontId="18" fillId="33" borderId="0" xfId="0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64" formatCode="&quot;$&quot;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[vehicle_maintenance.xlsx]Pivot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Cost by Service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Table'!$A$4:$A$17</c:f>
              <c:strCache>
                <c:ptCount val="13"/>
                <c:pt idx="0">
                  <c:v>Unknown</c:v>
                </c:pt>
                <c:pt idx="1">
                  <c:v>Spark Plug Replacement</c:v>
                </c:pt>
                <c:pt idx="2">
                  <c:v>Battery Replacement</c:v>
                </c:pt>
                <c:pt idx="3">
                  <c:v>Wheel Alignment</c:v>
                </c:pt>
                <c:pt idx="4">
                  <c:v>Tire Rotation</c:v>
                </c:pt>
                <c:pt idx="5">
                  <c:v>Brake Inspection</c:v>
                </c:pt>
                <c:pt idx="6">
                  <c:v>Engine Tune-up</c:v>
                </c:pt>
                <c:pt idx="7">
                  <c:v>Oil Change</c:v>
                </c:pt>
                <c:pt idx="8">
                  <c:v>Headlight Replacement</c:v>
                </c:pt>
                <c:pt idx="9">
                  <c:v>Brake Pad Replacement</c:v>
                </c:pt>
                <c:pt idx="10">
                  <c:v>Fluid Flush</c:v>
                </c:pt>
                <c:pt idx="11">
                  <c:v>Transmission Fluid Change</c:v>
                </c:pt>
                <c:pt idx="12">
                  <c:v>Starter Replacement</c:v>
                </c:pt>
              </c:strCache>
            </c:strRef>
          </c:cat>
          <c:val>
            <c:numRef>
              <c:f>'Pivot Table'!$B$4:$B$17</c:f>
              <c:numCache>
                <c:formatCode>0.00</c:formatCode>
                <c:ptCount val="13"/>
                <c:pt idx="0">
                  <c:v>206.47333333333333</c:v>
                </c:pt>
                <c:pt idx="1">
                  <c:v>240.50853658536587</c:v>
                </c:pt>
                <c:pt idx="2">
                  <c:v>240.58976190476187</c:v>
                </c:pt>
                <c:pt idx="3">
                  <c:v>242.23349999999999</c:v>
                </c:pt>
                <c:pt idx="4">
                  <c:v>263.30105263157895</c:v>
                </c:pt>
                <c:pt idx="5">
                  <c:v>263.6444736842106</c:v>
                </c:pt>
                <c:pt idx="6">
                  <c:v>269.79290322580641</c:v>
                </c:pt>
                <c:pt idx="7">
                  <c:v>270.23596153846159</c:v>
                </c:pt>
                <c:pt idx="8">
                  <c:v>273.51416666666665</c:v>
                </c:pt>
                <c:pt idx="9">
                  <c:v>279.85111111111109</c:v>
                </c:pt>
                <c:pt idx="10">
                  <c:v>289.66180000000003</c:v>
                </c:pt>
                <c:pt idx="11">
                  <c:v>303.74028571428568</c:v>
                </c:pt>
                <c:pt idx="12">
                  <c:v>306.12632653061223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C-41EA-B3AF-DE5F95C1E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494408"/>
        <c:axId val="91508744"/>
      </c:barChart>
      <c:catAx>
        <c:axId val="91494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Service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08744"/>
        <c:crosses val="autoZero"/>
        <c:auto val="1"/>
        <c:lblAlgn val="ctr"/>
        <c:lblOffset val="100"/>
        <c:noMultiLvlLbl val="0"/>
      </c:catAx>
      <c:valAx>
        <c:axId val="9150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94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[vehicle_maintenance.xlsx]Pivot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Model with Highest Number of Services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Table'!$A$24:$A$44</c:f>
              <c:strCache>
                <c:ptCount val="20"/>
                <c:pt idx="0">
                  <c:v>Ford Explorer</c:v>
                </c:pt>
                <c:pt idx="1">
                  <c:v>Ram 1500</c:v>
                </c:pt>
                <c:pt idx="2">
                  <c:v>Chevrolet Equinox</c:v>
                </c:pt>
                <c:pt idx="3">
                  <c:v>Subaru Outback</c:v>
                </c:pt>
                <c:pt idx="4">
                  <c:v>Jeep Wrangler</c:v>
                </c:pt>
                <c:pt idx="5">
                  <c:v>Subaru Crosstrek</c:v>
                </c:pt>
                <c:pt idx="6">
                  <c:v>Chevrolet Silverado</c:v>
                </c:pt>
                <c:pt idx="7">
                  <c:v>Ford Escape</c:v>
                </c:pt>
                <c:pt idx="8">
                  <c:v>Tesla Model 3</c:v>
                </c:pt>
                <c:pt idx="9">
                  <c:v>Honda Accord</c:v>
                </c:pt>
                <c:pt idx="10">
                  <c:v>Toyota RAV4</c:v>
                </c:pt>
                <c:pt idx="11">
                  <c:v>Ford Ranger</c:v>
                </c:pt>
                <c:pt idx="12">
                  <c:v>Nissan Titan</c:v>
                </c:pt>
                <c:pt idx="13">
                  <c:v>Honda Pilot</c:v>
                </c:pt>
                <c:pt idx="14">
                  <c:v>Ford F-150</c:v>
                </c:pt>
                <c:pt idx="15">
                  <c:v>Honda Civic</c:v>
                </c:pt>
                <c:pt idx="16">
                  <c:v>Ford Mustang</c:v>
                </c:pt>
                <c:pt idx="17">
                  <c:v>Nissan Altima</c:v>
                </c:pt>
                <c:pt idx="18">
                  <c:v>Honda CR-V</c:v>
                </c:pt>
                <c:pt idx="19">
                  <c:v>Toyota Camry</c:v>
                </c:pt>
              </c:strCache>
            </c:strRef>
          </c:cat>
          <c:val>
            <c:numRef>
              <c:f>'Pivot Table'!$B$24:$B$44</c:f>
              <c:numCache>
                <c:formatCode>General</c:formatCode>
                <c:ptCount val="20"/>
                <c:pt idx="0">
                  <c:v>36</c:v>
                </c:pt>
                <c:pt idx="1">
                  <c:v>32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29</c:v>
                </c:pt>
                <c:pt idx="6">
                  <c:v>27</c:v>
                </c:pt>
                <c:pt idx="7">
                  <c:v>26</c:v>
                </c:pt>
                <c:pt idx="8">
                  <c:v>26</c:v>
                </c:pt>
                <c:pt idx="9">
                  <c:v>24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22</c:v>
                </c:pt>
                <c:pt idx="15">
                  <c:v>21</c:v>
                </c:pt>
                <c:pt idx="16">
                  <c:v>21</c:v>
                </c:pt>
                <c:pt idx="17">
                  <c:v>19</c:v>
                </c:pt>
                <c:pt idx="18">
                  <c:v>17</c:v>
                </c:pt>
                <c:pt idx="1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C-4DD0-A294-BAA50B1A6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8"/>
        <c:axId val="26233352"/>
        <c:axId val="26235400"/>
      </c:barChart>
      <c:catAx>
        <c:axId val="26233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Vehicle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35400"/>
        <c:crosses val="autoZero"/>
        <c:auto val="1"/>
        <c:lblAlgn val="ctr"/>
        <c:lblOffset val="100"/>
        <c:noMultiLvlLbl val="0"/>
      </c:catAx>
      <c:valAx>
        <c:axId val="2623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Services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33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[vehicle_maintenance.xlsx]Pivot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Maintenance Cost by Mechanic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Table'!$A$50:$A$61</c:f>
              <c:strCache>
                <c:ptCount val="11"/>
                <c:pt idx="0">
                  <c:v>Peter Jones</c:v>
                </c:pt>
                <c:pt idx="1">
                  <c:v>Chris Evans</c:v>
                </c:pt>
                <c:pt idx="2">
                  <c:v>Emily White</c:v>
                </c:pt>
                <c:pt idx="3">
                  <c:v>Robert Johnson</c:v>
                </c:pt>
                <c:pt idx="4">
                  <c:v>John Doe</c:v>
                </c:pt>
                <c:pt idx="5">
                  <c:v>Sarah Davis</c:v>
                </c:pt>
                <c:pt idx="6">
                  <c:v>Jane Smith</c:v>
                </c:pt>
                <c:pt idx="7">
                  <c:v>Maria Garcia</c:v>
                </c:pt>
                <c:pt idx="8">
                  <c:v>Michael Brown</c:v>
                </c:pt>
                <c:pt idx="9">
                  <c:v>David Lee</c:v>
                </c:pt>
                <c:pt idx="10">
                  <c:v>Unknown</c:v>
                </c:pt>
              </c:strCache>
            </c:strRef>
          </c:cat>
          <c:val>
            <c:numRef>
              <c:f>'Pivot Table'!$B$50:$B$61</c:f>
              <c:numCache>
                <c:formatCode>0.00</c:formatCode>
                <c:ptCount val="11"/>
                <c:pt idx="0">
                  <c:v>15850.44</c:v>
                </c:pt>
                <c:pt idx="1">
                  <c:v>15740.41</c:v>
                </c:pt>
                <c:pt idx="2">
                  <c:v>15534.210000000005</c:v>
                </c:pt>
                <c:pt idx="3">
                  <c:v>14655.479999999998</c:v>
                </c:pt>
                <c:pt idx="4">
                  <c:v>13744.560000000001</c:v>
                </c:pt>
                <c:pt idx="5">
                  <c:v>13321.810000000001</c:v>
                </c:pt>
                <c:pt idx="6">
                  <c:v>12827.660000000002</c:v>
                </c:pt>
                <c:pt idx="7">
                  <c:v>11850.989999999996</c:v>
                </c:pt>
                <c:pt idx="8">
                  <c:v>10419.489999999998</c:v>
                </c:pt>
                <c:pt idx="9">
                  <c:v>9803.07</c:v>
                </c:pt>
                <c:pt idx="10">
                  <c:v>1520.04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C-44AC-993F-8CF873239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260373511"/>
        <c:axId val="74594824"/>
      </c:barChart>
      <c:catAx>
        <c:axId val="1260373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Mechanic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94824"/>
        <c:crosses val="autoZero"/>
        <c:auto val="1"/>
        <c:lblAlgn val="ctr"/>
        <c:lblOffset val="100"/>
        <c:noMultiLvlLbl val="0"/>
      </c:catAx>
      <c:valAx>
        <c:axId val="74594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Maintenance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373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[vehicle_maintenance.xlsx]Pivot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Services by Service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Table'!$A$67:$A$80</c:f>
              <c:strCache>
                <c:ptCount val="13"/>
                <c:pt idx="0">
                  <c:v>Unknown</c:v>
                </c:pt>
                <c:pt idx="1">
                  <c:v>Engine Tune-up</c:v>
                </c:pt>
                <c:pt idx="2">
                  <c:v>Transmission Fluid Change</c:v>
                </c:pt>
                <c:pt idx="3">
                  <c:v>Headlight Replacement</c:v>
                </c:pt>
                <c:pt idx="4">
                  <c:v>Tire Rotation</c:v>
                </c:pt>
                <c:pt idx="5">
                  <c:v>Brake Inspection</c:v>
                </c:pt>
                <c:pt idx="6">
                  <c:v>Wheel Alignment</c:v>
                </c:pt>
                <c:pt idx="7">
                  <c:v>Spark Plug Replacement</c:v>
                </c:pt>
                <c:pt idx="8">
                  <c:v>Battery Replacement</c:v>
                </c:pt>
                <c:pt idx="9">
                  <c:v>Brake Pad Replacement</c:v>
                </c:pt>
                <c:pt idx="10">
                  <c:v>Starter Replacement</c:v>
                </c:pt>
                <c:pt idx="11">
                  <c:v>Fluid Flush</c:v>
                </c:pt>
                <c:pt idx="12">
                  <c:v>Oil Change</c:v>
                </c:pt>
              </c:strCache>
            </c:strRef>
          </c:cat>
          <c:val>
            <c:numRef>
              <c:f>'Pivot Table'!$B$67:$B$80</c:f>
              <c:numCache>
                <c:formatCode>General</c:formatCode>
                <c:ptCount val="13"/>
                <c:pt idx="0">
                  <c:v>3</c:v>
                </c:pt>
                <c:pt idx="1">
                  <c:v>31</c:v>
                </c:pt>
                <c:pt idx="2">
                  <c:v>35</c:v>
                </c:pt>
                <c:pt idx="3">
                  <c:v>36</c:v>
                </c:pt>
                <c:pt idx="4">
                  <c:v>38</c:v>
                </c:pt>
                <c:pt idx="5">
                  <c:v>38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45</c:v>
                </c:pt>
                <c:pt idx="10">
                  <c:v>49</c:v>
                </c:pt>
                <c:pt idx="11">
                  <c:v>50</c:v>
                </c:pt>
                <c:pt idx="1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D-4EDA-A09C-D3831CEA6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0222983"/>
        <c:axId val="1267275271"/>
      </c:barChart>
      <c:catAx>
        <c:axId val="12602229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Service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75271"/>
        <c:crosses val="autoZero"/>
        <c:auto val="1"/>
        <c:lblAlgn val="ctr"/>
        <c:lblOffset val="100"/>
        <c:noMultiLvlLbl val="0"/>
      </c:catAx>
      <c:valAx>
        <c:axId val="1267275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22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[vehicle_maintenance.xlsx]Pivot 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Cost by Service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Table'!$A$4:$A$17</c:f>
              <c:strCache>
                <c:ptCount val="13"/>
                <c:pt idx="0">
                  <c:v>Unknown</c:v>
                </c:pt>
                <c:pt idx="1">
                  <c:v>Spark Plug Replacement</c:v>
                </c:pt>
                <c:pt idx="2">
                  <c:v>Battery Replacement</c:v>
                </c:pt>
                <c:pt idx="3">
                  <c:v>Wheel Alignment</c:v>
                </c:pt>
                <c:pt idx="4">
                  <c:v>Tire Rotation</c:v>
                </c:pt>
                <c:pt idx="5">
                  <c:v>Brake Inspection</c:v>
                </c:pt>
                <c:pt idx="6">
                  <c:v>Engine Tune-up</c:v>
                </c:pt>
                <c:pt idx="7">
                  <c:v>Oil Change</c:v>
                </c:pt>
                <c:pt idx="8">
                  <c:v>Headlight Replacement</c:v>
                </c:pt>
                <c:pt idx="9">
                  <c:v>Brake Pad Replacement</c:v>
                </c:pt>
                <c:pt idx="10">
                  <c:v>Fluid Flush</c:v>
                </c:pt>
                <c:pt idx="11">
                  <c:v>Transmission Fluid Change</c:v>
                </c:pt>
                <c:pt idx="12">
                  <c:v>Starter Replacement</c:v>
                </c:pt>
              </c:strCache>
            </c:strRef>
          </c:cat>
          <c:val>
            <c:numRef>
              <c:f>'Pivot Table'!$B$4:$B$17</c:f>
              <c:numCache>
                <c:formatCode>0.00</c:formatCode>
                <c:ptCount val="13"/>
                <c:pt idx="0">
                  <c:v>206.47333333333333</c:v>
                </c:pt>
                <c:pt idx="1">
                  <c:v>240.50853658536587</c:v>
                </c:pt>
                <c:pt idx="2">
                  <c:v>240.58976190476187</c:v>
                </c:pt>
                <c:pt idx="3">
                  <c:v>242.23349999999999</c:v>
                </c:pt>
                <c:pt idx="4">
                  <c:v>263.30105263157895</c:v>
                </c:pt>
                <c:pt idx="5">
                  <c:v>263.6444736842106</c:v>
                </c:pt>
                <c:pt idx="6">
                  <c:v>269.79290322580641</c:v>
                </c:pt>
                <c:pt idx="7">
                  <c:v>270.23596153846159</c:v>
                </c:pt>
                <c:pt idx="8">
                  <c:v>273.51416666666665</c:v>
                </c:pt>
                <c:pt idx="9">
                  <c:v>279.85111111111109</c:v>
                </c:pt>
                <c:pt idx="10">
                  <c:v>289.66180000000003</c:v>
                </c:pt>
                <c:pt idx="11">
                  <c:v>303.74028571428568</c:v>
                </c:pt>
                <c:pt idx="12">
                  <c:v>306.12632653061223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4B-48CE-8A0B-E807F50A8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494408"/>
        <c:axId val="91508744"/>
      </c:barChart>
      <c:catAx>
        <c:axId val="91494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Service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08744"/>
        <c:crosses val="autoZero"/>
        <c:auto val="1"/>
        <c:lblAlgn val="ctr"/>
        <c:lblOffset val="100"/>
        <c:noMultiLvlLbl val="0"/>
      </c:catAx>
      <c:valAx>
        <c:axId val="91508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94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[vehicle_maintenance.xlsx]Pivot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 Model with Highest Number of Services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Table'!$A$24:$A$44</c:f>
              <c:strCache>
                <c:ptCount val="20"/>
                <c:pt idx="0">
                  <c:v>Ford Explorer</c:v>
                </c:pt>
                <c:pt idx="1">
                  <c:v>Ram 1500</c:v>
                </c:pt>
                <c:pt idx="2">
                  <c:v>Chevrolet Equinox</c:v>
                </c:pt>
                <c:pt idx="3">
                  <c:v>Subaru Outback</c:v>
                </c:pt>
                <c:pt idx="4">
                  <c:v>Jeep Wrangler</c:v>
                </c:pt>
                <c:pt idx="5">
                  <c:v>Subaru Crosstrek</c:v>
                </c:pt>
                <c:pt idx="6">
                  <c:v>Chevrolet Silverado</c:v>
                </c:pt>
                <c:pt idx="7">
                  <c:v>Ford Escape</c:v>
                </c:pt>
                <c:pt idx="8">
                  <c:v>Tesla Model 3</c:v>
                </c:pt>
                <c:pt idx="9">
                  <c:v>Honda Accord</c:v>
                </c:pt>
                <c:pt idx="10">
                  <c:v>Toyota RAV4</c:v>
                </c:pt>
                <c:pt idx="11">
                  <c:v>Ford Ranger</c:v>
                </c:pt>
                <c:pt idx="12">
                  <c:v>Nissan Titan</c:v>
                </c:pt>
                <c:pt idx="13">
                  <c:v>Honda Pilot</c:v>
                </c:pt>
                <c:pt idx="14">
                  <c:v>Ford F-150</c:v>
                </c:pt>
                <c:pt idx="15">
                  <c:v>Honda Civic</c:v>
                </c:pt>
                <c:pt idx="16">
                  <c:v>Ford Mustang</c:v>
                </c:pt>
                <c:pt idx="17">
                  <c:v>Nissan Altima</c:v>
                </c:pt>
                <c:pt idx="18">
                  <c:v>Honda CR-V</c:v>
                </c:pt>
                <c:pt idx="19">
                  <c:v>Toyota Camry</c:v>
                </c:pt>
              </c:strCache>
            </c:strRef>
          </c:cat>
          <c:val>
            <c:numRef>
              <c:f>'Pivot Table'!$B$24:$B$44</c:f>
              <c:numCache>
                <c:formatCode>General</c:formatCode>
                <c:ptCount val="20"/>
                <c:pt idx="0">
                  <c:v>36</c:v>
                </c:pt>
                <c:pt idx="1">
                  <c:v>32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29</c:v>
                </c:pt>
                <c:pt idx="6">
                  <c:v>27</c:v>
                </c:pt>
                <c:pt idx="7">
                  <c:v>26</c:v>
                </c:pt>
                <c:pt idx="8">
                  <c:v>26</c:v>
                </c:pt>
                <c:pt idx="9">
                  <c:v>24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22</c:v>
                </c:pt>
                <c:pt idx="15">
                  <c:v>21</c:v>
                </c:pt>
                <c:pt idx="16">
                  <c:v>21</c:v>
                </c:pt>
                <c:pt idx="17">
                  <c:v>19</c:v>
                </c:pt>
                <c:pt idx="18">
                  <c:v>17</c:v>
                </c:pt>
                <c:pt idx="1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0-4095-93DC-64EEC27E9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8"/>
        <c:axId val="26233352"/>
        <c:axId val="26235400"/>
      </c:barChart>
      <c:catAx>
        <c:axId val="26233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Vehicle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35400"/>
        <c:crosses val="autoZero"/>
        <c:auto val="1"/>
        <c:lblAlgn val="ctr"/>
        <c:lblOffset val="100"/>
        <c:noMultiLvlLbl val="0"/>
      </c:catAx>
      <c:valAx>
        <c:axId val="2623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Services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33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[vehicle_maintenance.xlsx]Pivot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Maintenance Cost by Mechanic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Table'!$A$50:$A$61</c:f>
              <c:strCache>
                <c:ptCount val="11"/>
                <c:pt idx="0">
                  <c:v>Peter Jones</c:v>
                </c:pt>
                <c:pt idx="1">
                  <c:v>Chris Evans</c:v>
                </c:pt>
                <c:pt idx="2">
                  <c:v>Emily White</c:v>
                </c:pt>
                <c:pt idx="3">
                  <c:v>Robert Johnson</c:v>
                </c:pt>
                <c:pt idx="4">
                  <c:v>John Doe</c:v>
                </c:pt>
                <c:pt idx="5">
                  <c:v>Sarah Davis</c:v>
                </c:pt>
                <c:pt idx="6">
                  <c:v>Jane Smith</c:v>
                </c:pt>
                <c:pt idx="7">
                  <c:v>Maria Garcia</c:v>
                </c:pt>
                <c:pt idx="8">
                  <c:v>Michael Brown</c:v>
                </c:pt>
                <c:pt idx="9">
                  <c:v>David Lee</c:v>
                </c:pt>
                <c:pt idx="10">
                  <c:v>Unknown</c:v>
                </c:pt>
              </c:strCache>
            </c:strRef>
          </c:cat>
          <c:val>
            <c:numRef>
              <c:f>'Pivot Table'!$B$50:$B$61</c:f>
              <c:numCache>
                <c:formatCode>0.00</c:formatCode>
                <c:ptCount val="11"/>
                <c:pt idx="0">
                  <c:v>15850.44</c:v>
                </c:pt>
                <c:pt idx="1">
                  <c:v>15740.41</c:v>
                </c:pt>
                <c:pt idx="2">
                  <c:v>15534.210000000005</c:v>
                </c:pt>
                <c:pt idx="3">
                  <c:v>14655.479999999998</c:v>
                </c:pt>
                <c:pt idx="4">
                  <c:v>13744.560000000001</c:v>
                </c:pt>
                <c:pt idx="5">
                  <c:v>13321.810000000001</c:v>
                </c:pt>
                <c:pt idx="6">
                  <c:v>12827.660000000002</c:v>
                </c:pt>
                <c:pt idx="7">
                  <c:v>11850.989999999996</c:v>
                </c:pt>
                <c:pt idx="8">
                  <c:v>10419.489999999998</c:v>
                </c:pt>
                <c:pt idx="9">
                  <c:v>9803.07</c:v>
                </c:pt>
                <c:pt idx="10">
                  <c:v>1520.04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1-4E8C-9B45-71F99D25A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260373511"/>
        <c:axId val="74594824"/>
      </c:barChart>
      <c:catAx>
        <c:axId val="1260373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Mechanic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94824"/>
        <c:crosses val="autoZero"/>
        <c:auto val="1"/>
        <c:lblAlgn val="ctr"/>
        <c:lblOffset val="100"/>
        <c:noMultiLvlLbl val="0"/>
      </c:catAx>
      <c:valAx>
        <c:axId val="74594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Maintenance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373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[vehicle_maintenance.xlsx]Pivot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Services by Service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Table'!$A$67:$A$80</c:f>
              <c:strCache>
                <c:ptCount val="13"/>
                <c:pt idx="0">
                  <c:v>Unknown</c:v>
                </c:pt>
                <c:pt idx="1">
                  <c:v>Engine Tune-up</c:v>
                </c:pt>
                <c:pt idx="2">
                  <c:v>Transmission Fluid Change</c:v>
                </c:pt>
                <c:pt idx="3">
                  <c:v>Headlight Replacement</c:v>
                </c:pt>
                <c:pt idx="4">
                  <c:v>Tire Rotation</c:v>
                </c:pt>
                <c:pt idx="5">
                  <c:v>Brake Inspection</c:v>
                </c:pt>
                <c:pt idx="6">
                  <c:v>Wheel Alignment</c:v>
                </c:pt>
                <c:pt idx="7">
                  <c:v>Spark Plug Replacement</c:v>
                </c:pt>
                <c:pt idx="8">
                  <c:v>Battery Replacement</c:v>
                </c:pt>
                <c:pt idx="9">
                  <c:v>Brake Pad Replacement</c:v>
                </c:pt>
                <c:pt idx="10">
                  <c:v>Starter Replacement</c:v>
                </c:pt>
                <c:pt idx="11">
                  <c:v>Fluid Flush</c:v>
                </c:pt>
                <c:pt idx="12">
                  <c:v>Oil Change</c:v>
                </c:pt>
              </c:strCache>
            </c:strRef>
          </c:cat>
          <c:val>
            <c:numRef>
              <c:f>'Pivot Table'!$B$67:$B$80</c:f>
              <c:numCache>
                <c:formatCode>General</c:formatCode>
                <c:ptCount val="13"/>
                <c:pt idx="0">
                  <c:v>3</c:v>
                </c:pt>
                <c:pt idx="1">
                  <c:v>31</c:v>
                </c:pt>
                <c:pt idx="2">
                  <c:v>35</c:v>
                </c:pt>
                <c:pt idx="3">
                  <c:v>36</c:v>
                </c:pt>
                <c:pt idx="4">
                  <c:v>38</c:v>
                </c:pt>
                <c:pt idx="5">
                  <c:v>38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45</c:v>
                </c:pt>
                <c:pt idx="10">
                  <c:v>49</c:v>
                </c:pt>
                <c:pt idx="11">
                  <c:v>50</c:v>
                </c:pt>
                <c:pt idx="1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3-4C54-B991-9F782C75F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0222983"/>
        <c:axId val="1267275271"/>
      </c:barChart>
      <c:catAx>
        <c:axId val="12602229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Service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275271"/>
        <c:crosses val="autoZero"/>
        <c:auto val="1"/>
        <c:lblAlgn val="ctr"/>
        <c:lblOffset val="100"/>
        <c:noMultiLvlLbl val="0"/>
      </c:catAx>
      <c:valAx>
        <c:axId val="1267275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222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2</xdr:row>
      <xdr:rowOff>28575</xdr:rowOff>
    </xdr:from>
    <xdr:to>
      <xdr:col>9</xdr:col>
      <xdr:colOff>409575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FD47F1-F056-63F4-2041-6B40F23C6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23</xdr:row>
      <xdr:rowOff>85725</xdr:rowOff>
    </xdr:from>
    <xdr:to>
      <xdr:col>9</xdr:col>
      <xdr:colOff>114300</xdr:colOff>
      <xdr:row>40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A78119-31A5-F97D-8A1D-62350043DABA}"/>
            </a:ext>
            <a:ext uri="{147F2762-F138-4A5C-976F-8EAC2B608ADB}">
              <a16:predDERef xmlns:a16="http://schemas.microsoft.com/office/drawing/2014/main" pred="{44FD47F1-F056-63F4-2041-6B40F23C6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295275</xdr:colOff>
      <xdr:row>45</xdr:row>
      <xdr:rowOff>161925</xdr:rowOff>
    </xdr:from>
    <xdr:to>
      <xdr:col>8</xdr:col>
      <xdr:colOff>352425</xdr:colOff>
      <xdr:row>63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FAABEB-E874-D97C-4E9B-8B66637A9027}"/>
            </a:ext>
            <a:ext uri="{147F2762-F138-4A5C-976F-8EAC2B608ADB}">
              <a16:predDERef xmlns:a16="http://schemas.microsoft.com/office/drawing/2014/main" pred="{19A78119-31A5-F97D-8A1D-62350043D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1152525</xdr:colOff>
      <xdr:row>65</xdr:row>
      <xdr:rowOff>9525</xdr:rowOff>
    </xdr:from>
    <xdr:to>
      <xdr:col>8</xdr:col>
      <xdr:colOff>666750</xdr:colOff>
      <xdr:row>82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CD8500-E553-0CA0-6651-9B366353CAE5}"/>
            </a:ext>
            <a:ext uri="{147F2762-F138-4A5C-976F-8EAC2B608ADB}">
              <a16:predDERef xmlns:a16="http://schemas.microsoft.com/office/drawing/2014/main" pred="{BEFAABEB-E874-D97C-4E9B-8B66637A9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1133475</xdr:colOff>
      <xdr:row>24</xdr:row>
      <xdr:rowOff>28575</xdr:rowOff>
    </xdr:from>
    <xdr:to>
      <xdr:col>3</xdr:col>
      <xdr:colOff>438150</xdr:colOff>
      <xdr:row>38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ervice_Type">
              <a:extLst>
                <a:ext uri="{FF2B5EF4-FFF2-40B4-BE49-F238E27FC236}">
                  <a16:creationId xmlns:a16="http://schemas.microsoft.com/office/drawing/2014/main" id="{ABED9C0C-24C7-6FB8-1E9E-26350D73B53B}"/>
                </a:ext>
                <a:ext uri="{147F2762-F138-4A5C-976F-8EAC2B608ADB}">
                  <a16:predDERef xmlns:a16="http://schemas.microsoft.com/office/drawing/2014/main" pred="{2FCD8500-E553-0CA0-6651-9B366353CA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e_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81300" y="46005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38100</xdr:rowOff>
    </xdr:from>
    <xdr:to>
      <xdr:col>10</xdr:col>
      <xdr:colOff>381000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151CBB-69C6-4E5B-85D3-E814265F9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447675</xdr:colOff>
      <xdr:row>7</xdr:row>
      <xdr:rowOff>19050</xdr:rowOff>
    </xdr:from>
    <xdr:to>
      <xdr:col>19</xdr:col>
      <xdr:colOff>590550</xdr:colOff>
      <xdr:row>23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9B53CE-3474-4D0B-91D9-06A2FC80C94D}"/>
            </a:ext>
            <a:ext uri="{147F2762-F138-4A5C-976F-8EAC2B608ADB}">
              <a16:predDERef xmlns:a16="http://schemas.microsoft.com/office/drawing/2014/main" pred="{39151CBB-69C6-4E5B-85D3-E814265F9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23</xdr:row>
      <xdr:rowOff>123825</xdr:rowOff>
    </xdr:from>
    <xdr:to>
      <xdr:col>11</xdr:col>
      <xdr:colOff>85725</xdr:colOff>
      <xdr:row>40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40152E-B11F-4A3B-AFD7-27A44975C3EF}"/>
            </a:ext>
            <a:ext uri="{147F2762-F138-4A5C-976F-8EAC2B608ADB}">
              <a16:predDERef xmlns:a16="http://schemas.microsoft.com/office/drawing/2014/main" pred="{E99B53CE-3474-4D0B-91D9-06A2FC80C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123825</xdr:colOff>
      <xdr:row>23</xdr:row>
      <xdr:rowOff>104775</xdr:rowOff>
    </xdr:from>
    <xdr:to>
      <xdr:col>19</xdr:col>
      <xdr:colOff>600075</xdr:colOff>
      <xdr:row>40</xdr:row>
      <xdr:rowOff>180975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415CD8F-847D-44B5-A861-5DADC6F58957}"/>
            </a:ext>
            <a:ext uri="{147F2762-F138-4A5C-976F-8EAC2B608ADB}">
              <a16:predDERef xmlns:a16="http://schemas.microsoft.com/office/drawing/2014/main" pred="{4740152E-B11F-4A3B-AFD7-27A44975C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5.735490046296" createdVersion="8" refreshedVersion="8" minRefreshableVersion="3" recordCount="500" xr:uid="{C8BE72E5-D5DF-4CBC-81E1-BE4D1205BD7B}">
  <cacheSource type="worksheet">
    <worksheetSource name="Table1"/>
  </cacheSource>
  <cacheFields count="7">
    <cacheField name="Vehicle_ID" numFmtId="0">
      <sharedItems containsSemiMixedTypes="0" containsString="0" containsNumber="1" containsInteger="1" minValue="1001" maxValue="1500"/>
    </cacheField>
    <cacheField name="Vehicle_Model" numFmtId="0">
      <sharedItems count="20">
        <s v="Chevrolet Equinox"/>
        <s v="Honda CR-V"/>
        <s v="Nissan Altima"/>
        <s v="Ford F-150"/>
        <s v="Ford Ranger"/>
        <s v="Chevrolet Silverado"/>
        <s v="Toyota Camry"/>
        <s v="Jeep Wrangler"/>
        <s v="Ford Explorer"/>
        <s v="Toyota RAV4"/>
        <s v="Honda Accord"/>
        <s v="Subaru Outback"/>
        <s v="Ford Mustang"/>
        <s v="Ford Escape"/>
        <s v="Subaru Crosstrek"/>
        <s v="Tesla Model 3"/>
        <s v="Ram 1500"/>
        <s v="Honda Pilot"/>
        <s v="Honda Civic"/>
        <s v="Nissan Titan"/>
      </sharedItems>
    </cacheField>
    <cacheField name="Service_Date" numFmtId="14">
      <sharedItems containsSemiMixedTypes="0" containsNonDate="0" containsDate="1" containsString="0" minDate="2024-04-17T00:00:00" maxDate="2025-08-30T00:00:00"/>
    </cacheField>
    <cacheField name="Service_Type" numFmtId="0">
      <sharedItems count="13">
        <s v="Battery Replacement"/>
        <s v="Headlight Replacement"/>
        <s v="Wheel Alignment"/>
        <s v="Fluid Flush"/>
        <s v="Transmission Fluid Change"/>
        <s v="Brake Pad Replacement"/>
        <s v="Engine Tune-up"/>
        <s v="Brake Inspection"/>
        <s v="Tire Rotation"/>
        <s v="Oil Change"/>
        <s v="Spark Plug Replacement"/>
        <s v="Starter Replacement"/>
        <s v="Unknown"/>
      </sharedItems>
    </cacheField>
    <cacheField name="Mechanic_Name" numFmtId="0">
      <sharedItems count="11">
        <s v="Chris Evans"/>
        <s v="Sarah Davis"/>
        <s v="John Doe"/>
        <s v="Robert Johnson"/>
        <s v="Emily White"/>
        <s v="Michael Brown"/>
        <s v="Peter Jones"/>
        <s v="Maria Garcia"/>
        <s v="Unknown"/>
        <s v="David Lee"/>
        <s v="Jane Smith"/>
      </sharedItems>
    </cacheField>
    <cacheField name="Cost" numFmtId="164">
      <sharedItems containsSemiMixedTypes="0" containsString="0" containsNumber="1" minValue="31.23" maxValue="499.99" count="495">
        <n v="244.88"/>
        <n v="363.55"/>
        <n v="480.49"/>
        <n v="437.6"/>
        <n v="263.57"/>
        <n v="209.17"/>
        <n v="191.84"/>
        <n v="409.34"/>
        <n v="194.7"/>
        <n v="416.89"/>
        <n v="259.92"/>
        <n v="117.8"/>
        <n v="346.13"/>
        <n v="270.54000000000002"/>
        <n v="196.98"/>
        <n v="357.76"/>
        <n v="429.56"/>
        <n v="311.88"/>
        <n v="112.95"/>
        <n v="171.42"/>
        <n v="349.96"/>
        <n v="393.5"/>
        <n v="472.31"/>
        <n v="201.45"/>
        <n v="258.85000000000002"/>
        <n v="402.55"/>
        <n v="281.61"/>
        <n v="110.52"/>
        <n v="268"/>
        <n v="205.28"/>
        <n v="399.92"/>
        <n v="111.79"/>
        <n v="384.96"/>
        <n v="34.94"/>
        <n v="265.14"/>
        <n v="161.71"/>
        <n v="55.22"/>
        <n v="436.57"/>
        <n v="205.33"/>
        <n v="94.07"/>
        <n v="379.52"/>
        <n v="454.2"/>
        <n v="328.28"/>
        <n v="328.19"/>
        <n v="482.64"/>
        <n v="471.77"/>
        <n v="174.79"/>
        <n v="488.25"/>
        <n v="301.04000000000002"/>
        <n v="276.12"/>
        <n v="85.43"/>
        <n v="273.94"/>
        <n v="413.23"/>
        <n v="286.64"/>
        <n v="297.18"/>
        <n v="254.43"/>
        <n v="123.11"/>
        <n v="466.1"/>
        <n v="277.39"/>
        <n v="492.82"/>
        <n v="100.25"/>
        <n v="73.73"/>
        <n v="75.27"/>
        <n v="389.61"/>
        <n v="382.22"/>
        <n v="225.34"/>
        <n v="123.68"/>
        <n v="178.2"/>
        <n v="453.57"/>
        <n v="192.12"/>
        <n v="80.16"/>
        <n v="243.38"/>
        <n v="389.78"/>
        <n v="331.02"/>
        <n v="404.68"/>
        <n v="87.25"/>
        <n v="440.44"/>
        <n v="103.11"/>
        <n v="380.14"/>
        <n v="158.25"/>
        <n v="310.66000000000003"/>
        <n v="379.65"/>
        <n v="364.46"/>
        <n v="148.22"/>
        <n v="369.46"/>
        <n v="280.23"/>
        <n v="269.89999999999998"/>
        <n v="31.31"/>
        <n v="447.3"/>
        <n v="77.069999999999993"/>
        <n v="176.76"/>
        <n v="347.5"/>
        <n v="245.15"/>
        <n v="295.64999999999998"/>
        <n v="88.6"/>
        <n v="98.95"/>
        <n v="91.48"/>
        <n v="190.71"/>
        <n v="149.4"/>
        <n v="429.61"/>
        <n v="104.15"/>
        <n v="424.7"/>
        <n v="263.39"/>
        <n v="462.3"/>
        <n v="310.83999999999997"/>
        <n v="449.72"/>
        <n v="408.26"/>
        <n v="446.25"/>
        <n v="150.28"/>
        <n v="399.45"/>
        <n v="475.94"/>
        <n v="446.22"/>
        <n v="44.32"/>
        <n v="79.66"/>
        <n v="453.38"/>
        <n v="217.64"/>
        <n v="69.55"/>
        <n v="187.55"/>
        <n v="217.82"/>
        <n v="238.55"/>
        <n v="147.85"/>
        <n v="389.67"/>
        <n v="191.38"/>
        <n v="265.18"/>
        <n v="143.08000000000001"/>
        <n v="272.2"/>
        <n v="294.39"/>
        <n v="376.29"/>
        <n v="329.88"/>
        <n v="327.33999999999997"/>
        <n v="172.17"/>
        <n v="64.900000000000006"/>
        <n v="404.15"/>
        <n v="430"/>
        <n v="478.6"/>
        <n v="477.98"/>
        <n v="253.68"/>
        <n v="381.51"/>
        <n v="177.89"/>
        <n v="81.34"/>
        <n v="260.45999999999998"/>
        <n v="224.07"/>
        <n v="154.66"/>
        <n v="131.13"/>
        <n v="138.47999999999999"/>
        <n v="322.58"/>
        <n v="457.97"/>
        <n v="222.22"/>
        <n v="34.69"/>
        <n v="48.69"/>
        <n v="339.79"/>
        <n v="441.36"/>
        <n v="224.28"/>
        <n v="495.24"/>
        <n v="198.5"/>
        <n v="467.32"/>
        <n v="206.74"/>
        <n v="233.59"/>
        <n v="376.23"/>
        <n v="366"/>
        <n v="457.5"/>
        <n v="344.96"/>
        <n v="357.6"/>
        <n v="430.58"/>
        <n v="275.27999999999997"/>
        <n v="260.19"/>
        <n v="436.29"/>
        <n v="452.13"/>
        <n v="229.39"/>
        <n v="367.46"/>
        <n v="184.54"/>
        <n v="146.57"/>
        <n v="118.86"/>
        <n v="471.88"/>
        <n v="156.28"/>
        <n v="340.59"/>
        <n v="499.37"/>
        <n v="127.39"/>
        <n v="471.68"/>
        <n v="367.04"/>
        <n v="59.77"/>
        <n v="421.86"/>
        <n v="215.16"/>
        <n v="157.97"/>
        <n v="38.94"/>
        <n v="402.81"/>
        <n v="415.44"/>
        <n v="49.54"/>
        <n v="40.229999999999997"/>
        <n v="335.7"/>
        <n v="317.81"/>
        <n v="356.53"/>
        <n v="363.14"/>
        <n v="331.21"/>
        <n v="432.03"/>
        <n v="492.37"/>
        <n v="406.26"/>
        <n v="147.56"/>
        <n v="450.82"/>
        <n v="151.78"/>
        <n v="363.03"/>
        <n v="224.42"/>
        <n v="158.29"/>
        <n v="107.16"/>
        <n v="330.6"/>
        <n v="354.1"/>
        <n v="378.93"/>
        <n v="356.45"/>
        <n v="239.45"/>
        <n v="354.33"/>
        <n v="346.07"/>
        <n v="482.42"/>
        <n v="318.20999999999998"/>
        <n v="87.53"/>
        <n v="478.61"/>
        <n v="392.67"/>
        <n v="412.39"/>
        <n v="197.43"/>
        <n v="459.01"/>
        <n v="311.93"/>
        <n v="303.02999999999997"/>
        <n v="174.22"/>
        <n v="75.010000000000005"/>
        <n v="144.16999999999999"/>
        <n v="190.02"/>
        <n v="158.30000000000001"/>
        <n v="335.71"/>
        <n v="470.04"/>
        <n v="423.96"/>
        <n v="164.67"/>
        <n v="472.38"/>
        <n v="295.25"/>
        <n v="142.03"/>
        <n v="116.49"/>
        <n v="232.76"/>
        <n v="490.81"/>
        <n v="406.08"/>
        <n v="114.57"/>
        <n v="300.01"/>
        <n v="314.91000000000003"/>
        <n v="125.61"/>
        <n v="440.56"/>
        <n v="190.27"/>
        <n v="327.04000000000002"/>
        <n v="439.04"/>
        <n v="43.19"/>
        <n v="206.89"/>
        <n v="306.68"/>
        <n v="103.92"/>
        <n v="440.75"/>
        <n v="215.91"/>
        <n v="125.13"/>
        <n v="194.44"/>
        <n v="213.72"/>
        <n v="364.45"/>
        <n v="93.89"/>
        <n v="33.22"/>
        <n v="320.98"/>
        <n v="394.51"/>
        <n v="230.56"/>
        <n v="135.84"/>
        <n v="199.74"/>
        <n v="155.38999999999999"/>
        <n v="52.71"/>
        <n v="386.04"/>
        <n v="441"/>
        <n v="83.91"/>
        <n v="454.82"/>
        <n v="316.36"/>
        <n v="488.6"/>
        <n v="200.6"/>
        <n v="283.93"/>
        <n v="496.49"/>
        <n v="453.87"/>
        <n v="336.97"/>
        <n v="257.8"/>
        <n v="192.19"/>
        <n v="475.69"/>
        <n v="369.99"/>
        <n v="425.21"/>
        <n v="428.08"/>
        <n v="423.14"/>
        <n v="146"/>
        <n v="358.12"/>
        <n v="332.01"/>
        <n v="274.22000000000003"/>
        <n v="386.55"/>
        <n v="337.3"/>
        <n v="447.25"/>
        <n v="81.069999999999993"/>
        <n v="36.770000000000003"/>
        <n v="401.22"/>
        <n v="105.31"/>
        <n v="260.95999999999998"/>
        <n v="104.89"/>
        <n v="102.04"/>
        <n v="280.44"/>
        <n v="406.9"/>
        <n v="37.25"/>
        <n v="61.13"/>
        <n v="376.09"/>
        <n v="285.97000000000003"/>
        <n v="146.75"/>
        <n v="111.65"/>
        <n v="73"/>
        <n v="112.57"/>
        <n v="69.89"/>
        <n v="485.41"/>
        <n v="43.85"/>
        <n v="493.7"/>
        <n v="404.4"/>
        <n v="53.46"/>
        <n v="332.66"/>
        <n v="275.83"/>
        <n v="227.66"/>
        <n v="205.48"/>
        <n v="403.56"/>
        <n v="388.61"/>
        <n v="416.73"/>
        <n v="281.47000000000003"/>
        <n v="380.29"/>
        <n v="135.19"/>
        <n v="258.39999999999998"/>
        <n v="486.44"/>
        <n v="133.66999999999999"/>
        <n v="39.22"/>
        <n v="499.99"/>
        <n v="250.23"/>
        <n v="404.47"/>
        <n v="125.26"/>
        <n v="417.59"/>
        <n v="484.08"/>
        <n v="358.47"/>
        <n v="392.28"/>
        <n v="83.75"/>
        <n v="349.26"/>
        <n v="495.47"/>
        <n v="440.12"/>
        <n v="235.65"/>
        <n v="439.2"/>
        <n v="173.47"/>
        <n v="100.28"/>
        <n v="277.89999999999998"/>
        <n v="142.99"/>
        <n v="139.03"/>
        <n v="271.89"/>
        <n v="317.83999999999997"/>
        <n v="102.13"/>
        <n v="383.11"/>
        <n v="333.64"/>
        <n v="349.09"/>
        <n v="446.47"/>
        <n v="477.37"/>
        <n v="38.19"/>
        <n v="80.400000000000006"/>
        <n v="372.29"/>
        <n v="253.93"/>
        <n v="264.38"/>
        <n v="69.069999999999993"/>
        <n v="232.71"/>
        <n v="319.55"/>
        <n v="185.96"/>
        <n v="262.63"/>
        <n v="139.81"/>
        <n v="110.03"/>
        <n v="449.47"/>
        <n v="210.62"/>
        <n v="284.97000000000003"/>
        <n v="247.16"/>
        <n v="222.44"/>
        <n v="264.64999999999998"/>
        <n v="219.79"/>
        <n v="48.11"/>
        <n v="31.23"/>
        <n v="410.2"/>
        <n v="382.84"/>
        <n v="246.86"/>
        <n v="231.48"/>
        <n v="402.45"/>
        <n v="202.06"/>
        <n v="265.37"/>
        <n v="484.39"/>
        <n v="435.24"/>
        <n v="310.25"/>
        <n v="97.1"/>
        <n v="78.569999999999993"/>
        <n v="330.09"/>
        <n v="311.45"/>
        <n v="242.56"/>
        <n v="187.33"/>
        <n v="325.87"/>
        <n v="153.47999999999999"/>
        <n v="216.4"/>
        <n v="131.94999999999999"/>
        <n v="340.78"/>
        <n v="442.31"/>
        <n v="407.74"/>
        <n v="83.5"/>
        <n v="345.32"/>
        <n v="422.26"/>
        <n v="478.18"/>
        <n v="287.14"/>
        <n v="136.22999999999999"/>
        <n v="488.31"/>
        <n v="68.42"/>
        <n v="341.77"/>
        <n v="456.25"/>
        <n v="447.66"/>
        <n v="208.92"/>
        <n v="153.79"/>
        <n v="126.23"/>
        <n v="63.21"/>
        <n v="356.03"/>
        <n v="131.36000000000001"/>
        <n v="309.25"/>
        <n v="307.93"/>
        <n v="262.74"/>
        <n v="339.21"/>
        <n v="75.930000000000007"/>
        <n v="229.9"/>
        <n v="89.97"/>
        <n v="473.59"/>
        <n v="99.3"/>
        <n v="175.4"/>
        <n v="222.65"/>
        <n v="392.9"/>
        <n v="114.62"/>
        <n v="135.88"/>
        <n v="326.32"/>
        <n v="233.86"/>
        <n v="90.86"/>
        <n v="65.209999999999994"/>
        <n v="427.92"/>
        <n v="267.62"/>
        <n v="363.09"/>
        <n v="455.46"/>
        <n v="231.17"/>
        <n v="308.88"/>
        <n v="488.3"/>
        <n v="44.99"/>
        <n v="336.59"/>
        <n v="154.80000000000001"/>
        <n v="496.32"/>
        <n v="280.8"/>
        <n v="214.06"/>
        <n v="153.96"/>
        <n v="52.85"/>
        <n v="104.43"/>
        <n v="209.15"/>
        <n v="433.42"/>
        <n v="70.760000000000005"/>
        <n v="128.36000000000001"/>
        <n v="74.08"/>
        <n v="35.020000000000003"/>
        <n v="65.040000000000006"/>
        <n v="112.05"/>
        <n v="158.65"/>
        <n v="249.91"/>
        <n v="163.02000000000001"/>
        <n v="211.86"/>
        <n v="79.349999999999994"/>
        <n v="115.62"/>
        <n v="331.33"/>
        <n v="398.73"/>
        <n v="481.6"/>
        <n v="422.08"/>
        <n v="270.81"/>
        <n v="443.3"/>
        <n v="334.35"/>
        <n v="333.11"/>
        <n v="436.31"/>
        <n v="131.58000000000001"/>
        <n v="95.4"/>
        <n v="498.07"/>
        <n v="493.6"/>
        <n v="49.09"/>
        <n v="114.19"/>
        <n v="160.86000000000001"/>
        <n v="171.16"/>
        <n v="180.99"/>
        <n v="340.87"/>
        <n v="46.26"/>
        <n v="206.31"/>
        <n v="312.05"/>
        <n v="129.74"/>
        <n v="322.60000000000002"/>
        <n v="219.46"/>
        <n v="452.17"/>
        <n v="298.79000000000002"/>
        <n v="44.09"/>
        <n v="495.46"/>
        <n v="267.73"/>
        <n v="213.04"/>
        <n v="67.11"/>
        <n v="284.05"/>
      </sharedItems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 pivotCacheId="823390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1"/>
    <x v="0"/>
    <d v="2024-04-17T00:00:00"/>
    <x v="0"/>
    <x v="0"/>
    <x v="0"/>
    <s v="2024 Apr"/>
  </r>
  <r>
    <n v="1002"/>
    <x v="1"/>
    <d v="2024-04-18T00:00:00"/>
    <x v="1"/>
    <x v="1"/>
    <x v="1"/>
    <s v="2024 Apr"/>
  </r>
  <r>
    <n v="1003"/>
    <x v="2"/>
    <d v="2024-04-19T00:00:00"/>
    <x v="2"/>
    <x v="1"/>
    <x v="2"/>
    <s v="2024 Apr"/>
  </r>
  <r>
    <n v="1004"/>
    <x v="3"/>
    <d v="2024-04-20T00:00:00"/>
    <x v="2"/>
    <x v="2"/>
    <x v="3"/>
    <s v="2024 Apr"/>
  </r>
  <r>
    <n v="1005"/>
    <x v="4"/>
    <d v="2024-04-21T00:00:00"/>
    <x v="1"/>
    <x v="3"/>
    <x v="4"/>
    <s v="2024 Apr"/>
  </r>
  <r>
    <n v="1006"/>
    <x v="5"/>
    <d v="2024-04-22T00:00:00"/>
    <x v="0"/>
    <x v="4"/>
    <x v="5"/>
    <s v="2024 Apr"/>
  </r>
  <r>
    <n v="1007"/>
    <x v="6"/>
    <d v="2024-04-23T00:00:00"/>
    <x v="2"/>
    <x v="4"/>
    <x v="6"/>
    <s v="2024 Apr"/>
  </r>
  <r>
    <n v="1008"/>
    <x v="7"/>
    <d v="2024-04-24T00:00:00"/>
    <x v="3"/>
    <x v="5"/>
    <x v="7"/>
    <s v="2024 Apr"/>
  </r>
  <r>
    <n v="1009"/>
    <x v="8"/>
    <d v="2024-04-25T00:00:00"/>
    <x v="4"/>
    <x v="6"/>
    <x v="8"/>
    <s v="2024 Apr"/>
  </r>
  <r>
    <n v="1010"/>
    <x v="9"/>
    <d v="2024-04-26T00:00:00"/>
    <x v="5"/>
    <x v="3"/>
    <x v="9"/>
    <s v="2024 Apr"/>
  </r>
  <r>
    <n v="1011"/>
    <x v="4"/>
    <d v="2024-04-27T00:00:00"/>
    <x v="6"/>
    <x v="3"/>
    <x v="10"/>
    <s v="2024 Apr"/>
  </r>
  <r>
    <n v="1012"/>
    <x v="8"/>
    <d v="2024-04-28T00:00:00"/>
    <x v="0"/>
    <x v="7"/>
    <x v="11"/>
    <s v="2024 Apr"/>
  </r>
  <r>
    <n v="1013"/>
    <x v="7"/>
    <d v="2024-04-29T00:00:00"/>
    <x v="6"/>
    <x v="3"/>
    <x v="12"/>
    <s v="2024 Apr"/>
  </r>
  <r>
    <n v="1014"/>
    <x v="3"/>
    <d v="2024-04-30T00:00:00"/>
    <x v="5"/>
    <x v="5"/>
    <x v="13"/>
    <s v="2024 Apr"/>
  </r>
  <r>
    <n v="1015"/>
    <x v="10"/>
    <d v="2024-05-01T00:00:00"/>
    <x v="7"/>
    <x v="2"/>
    <x v="14"/>
    <s v="2024 May"/>
  </r>
  <r>
    <n v="1016"/>
    <x v="1"/>
    <d v="2024-05-02T00:00:00"/>
    <x v="8"/>
    <x v="6"/>
    <x v="15"/>
    <s v="2024 May"/>
  </r>
  <r>
    <n v="1017"/>
    <x v="4"/>
    <d v="2024-05-03T00:00:00"/>
    <x v="9"/>
    <x v="2"/>
    <x v="16"/>
    <s v="2024 May"/>
  </r>
  <r>
    <n v="1018"/>
    <x v="11"/>
    <d v="2024-05-04T00:00:00"/>
    <x v="9"/>
    <x v="6"/>
    <x v="17"/>
    <s v="2024 May"/>
  </r>
  <r>
    <n v="1019"/>
    <x v="12"/>
    <d v="2024-05-05T00:00:00"/>
    <x v="9"/>
    <x v="7"/>
    <x v="18"/>
    <s v="2024 May"/>
  </r>
  <r>
    <n v="1020"/>
    <x v="11"/>
    <d v="2024-05-06T00:00:00"/>
    <x v="4"/>
    <x v="5"/>
    <x v="13"/>
    <s v="2024 May"/>
  </r>
  <r>
    <n v="1021"/>
    <x v="9"/>
    <d v="2024-05-07T00:00:00"/>
    <x v="10"/>
    <x v="1"/>
    <x v="19"/>
    <s v="2024 May"/>
  </r>
  <r>
    <n v="1022"/>
    <x v="2"/>
    <d v="2024-05-08T00:00:00"/>
    <x v="10"/>
    <x v="2"/>
    <x v="20"/>
    <s v="2024 May"/>
  </r>
  <r>
    <n v="1023"/>
    <x v="0"/>
    <d v="2024-05-09T00:00:00"/>
    <x v="3"/>
    <x v="4"/>
    <x v="21"/>
    <s v="2024 May"/>
  </r>
  <r>
    <n v="1024"/>
    <x v="13"/>
    <d v="2024-05-10T00:00:00"/>
    <x v="11"/>
    <x v="4"/>
    <x v="22"/>
    <s v="2024 May"/>
  </r>
  <r>
    <n v="1025"/>
    <x v="14"/>
    <d v="2024-05-11T00:00:00"/>
    <x v="3"/>
    <x v="8"/>
    <x v="23"/>
    <s v="2024 May"/>
  </r>
  <r>
    <n v="1026"/>
    <x v="4"/>
    <d v="2024-05-12T00:00:00"/>
    <x v="1"/>
    <x v="1"/>
    <x v="24"/>
    <s v="2024 May"/>
  </r>
  <r>
    <n v="1027"/>
    <x v="15"/>
    <d v="2024-05-13T00:00:00"/>
    <x v="11"/>
    <x v="5"/>
    <x v="25"/>
    <s v="2024 May"/>
  </r>
  <r>
    <n v="1028"/>
    <x v="5"/>
    <d v="2024-05-14T00:00:00"/>
    <x v="9"/>
    <x v="3"/>
    <x v="26"/>
    <s v="2024 May"/>
  </r>
  <r>
    <n v="1029"/>
    <x v="15"/>
    <d v="2024-05-15T00:00:00"/>
    <x v="1"/>
    <x v="0"/>
    <x v="27"/>
    <s v="2024 May"/>
  </r>
  <r>
    <n v="1030"/>
    <x v="0"/>
    <d v="2024-05-16T00:00:00"/>
    <x v="2"/>
    <x v="7"/>
    <x v="28"/>
    <s v="2024 May"/>
  </r>
  <r>
    <n v="1031"/>
    <x v="10"/>
    <d v="2024-05-17T00:00:00"/>
    <x v="0"/>
    <x v="7"/>
    <x v="29"/>
    <s v="2024 May"/>
  </r>
  <r>
    <n v="1032"/>
    <x v="16"/>
    <d v="2024-05-18T00:00:00"/>
    <x v="4"/>
    <x v="0"/>
    <x v="30"/>
    <s v="2024 May"/>
  </r>
  <r>
    <n v="1033"/>
    <x v="8"/>
    <d v="2024-05-19T00:00:00"/>
    <x v="3"/>
    <x v="3"/>
    <x v="31"/>
    <s v="2024 May"/>
  </r>
  <r>
    <n v="1034"/>
    <x v="4"/>
    <d v="2024-05-20T00:00:00"/>
    <x v="5"/>
    <x v="6"/>
    <x v="32"/>
    <s v="2024 May"/>
  </r>
  <r>
    <n v="1035"/>
    <x v="12"/>
    <d v="2024-05-21T00:00:00"/>
    <x v="9"/>
    <x v="3"/>
    <x v="33"/>
    <s v="2024 May"/>
  </r>
  <r>
    <n v="1036"/>
    <x v="5"/>
    <d v="2024-05-22T00:00:00"/>
    <x v="0"/>
    <x v="2"/>
    <x v="34"/>
    <s v="2024 May"/>
  </r>
  <r>
    <n v="1037"/>
    <x v="11"/>
    <d v="2024-05-23T00:00:00"/>
    <x v="8"/>
    <x v="2"/>
    <x v="35"/>
    <s v="2024 May"/>
  </r>
  <r>
    <n v="1038"/>
    <x v="0"/>
    <d v="2024-05-24T00:00:00"/>
    <x v="11"/>
    <x v="2"/>
    <x v="36"/>
    <s v="2024 May"/>
  </r>
  <r>
    <n v="1039"/>
    <x v="12"/>
    <d v="2024-05-25T00:00:00"/>
    <x v="9"/>
    <x v="7"/>
    <x v="37"/>
    <s v="2024 May"/>
  </r>
  <r>
    <n v="1040"/>
    <x v="0"/>
    <d v="2024-05-26T00:00:00"/>
    <x v="1"/>
    <x v="6"/>
    <x v="38"/>
    <s v="2024 May"/>
  </r>
  <r>
    <n v="1041"/>
    <x v="10"/>
    <d v="2024-05-27T00:00:00"/>
    <x v="9"/>
    <x v="7"/>
    <x v="39"/>
    <s v="2024 May"/>
  </r>
  <r>
    <n v="1042"/>
    <x v="14"/>
    <d v="2024-05-28T00:00:00"/>
    <x v="5"/>
    <x v="7"/>
    <x v="40"/>
    <s v="2024 May"/>
  </r>
  <r>
    <n v="1043"/>
    <x v="2"/>
    <d v="2024-05-29T00:00:00"/>
    <x v="4"/>
    <x v="6"/>
    <x v="41"/>
    <s v="2024 May"/>
  </r>
  <r>
    <n v="1044"/>
    <x v="16"/>
    <d v="2024-05-30T00:00:00"/>
    <x v="0"/>
    <x v="2"/>
    <x v="42"/>
    <s v="2024 May"/>
  </r>
  <r>
    <n v="1045"/>
    <x v="17"/>
    <d v="2024-05-31T00:00:00"/>
    <x v="6"/>
    <x v="9"/>
    <x v="43"/>
    <s v="2024 May"/>
  </r>
  <r>
    <n v="1046"/>
    <x v="15"/>
    <d v="2024-06-01T00:00:00"/>
    <x v="11"/>
    <x v="5"/>
    <x v="44"/>
    <s v="2024 Jun"/>
  </r>
  <r>
    <n v="1047"/>
    <x v="14"/>
    <d v="2024-06-02T00:00:00"/>
    <x v="3"/>
    <x v="7"/>
    <x v="45"/>
    <s v="2024 Jun"/>
  </r>
  <r>
    <n v="1048"/>
    <x v="12"/>
    <d v="2024-06-03T00:00:00"/>
    <x v="11"/>
    <x v="4"/>
    <x v="46"/>
    <s v="2024 Jun"/>
  </r>
  <r>
    <n v="1049"/>
    <x v="16"/>
    <d v="2024-06-04T00:00:00"/>
    <x v="3"/>
    <x v="10"/>
    <x v="47"/>
    <s v="2024 Jun"/>
  </r>
  <r>
    <n v="1050"/>
    <x v="7"/>
    <d v="2024-06-05T00:00:00"/>
    <x v="3"/>
    <x v="10"/>
    <x v="48"/>
    <s v="2024 Jun"/>
  </r>
  <r>
    <n v="1051"/>
    <x v="12"/>
    <d v="2024-06-06T00:00:00"/>
    <x v="3"/>
    <x v="9"/>
    <x v="49"/>
    <s v="2024 Jun"/>
  </r>
  <r>
    <n v="1052"/>
    <x v="5"/>
    <d v="2024-06-07T00:00:00"/>
    <x v="2"/>
    <x v="2"/>
    <x v="50"/>
    <s v="2024 Jun"/>
  </r>
  <r>
    <n v="1053"/>
    <x v="6"/>
    <d v="2024-06-08T00:00:00"/>
    <x v="8"/>
    <x v="9"/>
    <x v="51"/>
    <s v="2024 Jun"/>
  </r>
  <r>
    <n v="1054"/>
    <x v="16"/>
    <d v="2024-06-09T00:00:00"/>
    <x v="10"/>
    <x v="10"/>
    <x v="52"/>
    <s v="2024 Jun"/>
  </r>
  <r>
    <n v="1055"/>
    <x v="13"/>
    <d v="2024-06-10T00:00:00"/>
    <x v="7"/>
    <x v="10"/>
    <x v="53"/>
    <s v="2024 Jun"/>
  </r>
  <r>
    <n v="1056"/>
    <x v="8"/>
    <d v="2024-06-11T00:00:00"/>
    <x v="11"/>
    <x v="1"/>
    <x v="54"/>
    <s v="2024 Jun"/>
  </r>
  <r>
    <n v="1057"/>
    <x v="9"/>
    <d v="2024-06-12T00:00:00"/>
    <x v="9"/>
    <x v="9"/>
    <x v="55"/>
    <s v="2024 Jun"/>
  </r>
  <r>
    <n v="1058"/>
    <x v="15"/>
    <d v="2024-06-13T00:00:00"/>
    <x v="3"/>
    <x v="7"/>
    <x v="56"/>
    <s v="2024 Jun"/>
  </r>
  <r>
    <n v="1059"/>
    <x v="4"/>
    <d v="2024-06-14T00:00:00"/>
    <x v="1"/>
    <x v="0"/>
    <x v="57"/>
    <s v="2024 Jun"/>
  </r>
  <r>
    <n v="1060"/>
    <x v="8"/>
    <d v="2024-06-15T00:00:00"/>
    <x v="3"/>
    <x v="7"/>
    <x v="58"/>
    <s v="2024 Jun"/>
  </r>
  <r>
    <n v="1061"/>
    <x v="13"/>
    <d v="2024-06-16T00:00:00"/>
    <x v="1"/>
    <x v="0"/>
    <x v="59"/>
    <s v="2024 Jun"/>
  </r>
  <r>
    <n v="1062"/>
    <x v="7"/>
    <d v="2024-06-17T00:00:00"/>
    <x v="2"/>
    <x v="7"/>
    <x v="60"/>
    <s v="2024 Jun"/>
  </r>
  <r>
    <n v="1063"/>
    <x v="2"/>
    <d v="2024-06-18T00:00:00"/>
    <x v="5"/>
    <x v="3"/>
    <x v="61"/>
    <s v="2024 Jun"/>
  </r>
  <r>
    <n v="1064"/>
    <x v="7"/>
    <d v="2024-06-19T00:00:00"/>
    <x v="3"/>
    <x v="7"/>
    <x v="62"/>
    <s v="2024 Jun"/>
  </r>
  <r>
    <n v="1065"/>
    <x v="7"/>
    <d v="2024-06-20T00:00:00"/>
    <x v="8"/>
    <x v="4"/>
    <x v="63"/>
    <s v="2024 Jun"/>
  </r>
  <r>
    <n v="1066"/>
    <x v="5"/>
    <d v="2024-06-21T00:00:00"/>
    <x v="4"/>
    <x v="2"/>
    <x v="64"/>
    <s v="2024 Jun"/>
  </r>
  <r>
    <n v="1067"/>
    <x v="14"/>
    <d v="2024-06-22T00:00:00"/>
    <x v="1"/>
    <x v="5"/>
    <x v="65"/>
    <s v="2024 Jun"/>
  </r>
  <r>
    <n v="1068"/>
    <x v="4"/>
    <d v="2024-06-23T00:00:00"/>
    <x v="0"/>
    <x v="5"/>
    <x v="66"/>
    <s v="2024 Jun"/>
  </r>
  <r>
    <n v="1069"/>
    <x v="11"/>
    <d v="2024-06-24T00:00:00"/>
    <x v="9"/>
    <x v="4"/>
    <x v="67"/>
    <s v="2024 Jun"/>
  </r>
  <r>
    <n v="1070"/>
    <x v="3"/>
    <d v="2024-06-25T00:00:00"/>
    <x v="1"/>
    <x v="2"/>
    <x v="68"/>
    <s v="2024 Jun"/>
  </r>
  <r>
    <n v="1071"/>
    <x v="15"/>
    <d v="2024-06-26T00:00:00"/>
    <x v="8"/>
    <x v="3"/>
    <x v="69"/>
    <s v="2024 Jun"/>
  </r>
  <r>
    <n v="1072"/>
    <x v="0"/>
    <d v="2024-06-27T00:00:00"/>
    <x v="8"/>
    <x v="2"/>
    <x v="70"/>
    <s v="2024 Jun"/>
  </r>
  <r>
    <n v="1073"/>
    <x v="6"/>
    <d v="2024-06-28T00:00:00"/>
    <x v="7"/>
    <x v="10"/>
    <x v="71"/>
    <s v="2024 Jun"/>
  </r>
  <r>
    <n v="1074"/>
    <x v="17"/>
    <d v="2024-06-29T00:00:00"/>
    <x v="7"/>
    <x v="4"/>
    <x v="72"/>
    <s v="2024 Jun"/>
  </r>
  <r>
    <n v="1075"/>
    <x v="18"/>
    <d v="2024-06-30T00:00:00"/>
    <x v="11"/>
    <x v="10"/>
    <x v="73"/>
    <s v="2024 Jun"/>
  </r>
  <r>
    <n v="1076"/>
    <x v="15"/>
    <d v="2024-07-01T00:00:00"/>
    <x v="6"/>
    <x v="7"/>
    <x v="74"/>
    <s v="2024 Jul"/>
  </r>
  <r>
    <n v="1077"/>
    <x v="3"/>
    <d v="2024-07-02T00:00:00"/>
    <x v="5"/>
    <x v="9"/>
    <x v="75"/>
    <s v="2024 Jul"/>
  </r>
  <r>
    <n v="1078"/>
    <x v="9"/>
    <d v="2024-07-03T00:00:00"/>
    <x v="3"/>
    <x v="6"/>
    <x v="76"/>
    <s v="2024 Jul"/>
  </r>
  <r>
    <n v="1079"/>
    <x v="7"/>
    <d v="2024-07-04T00:00:00"/>
    <x v="8"/>
    <x v="0"/>
    <x v="77"/>
    <s v="2024 Jul"/>
  </r>
  <r>
    <n v="1080"/>
    <x v="0"/>
    <d v="2024-07-05T00:00:00"/>
    <x v="3"/>
    <x v="6"/>
    <x v="78"/>
    <s v="2024 Jul"/>
  </r>
  <r>
    <n v="1081"/>
    <x v="15"/>
    <d v="2024-07-06T00:00:00"/>
    <x v="5"/>
    <x v="6"/>
    <x v="79"/>
    <s v="2024 Jul"/>
  </r>
  <r>
    <n v="1082"/>
    <x v="0"/>
    <d v="2024-07-07T00:00:00"/>
    <x v="0"/>
    <x v="5"/>
    <x v="80"/>
    <s v="2024 Jul"/>
  </r>
  <r>
    <n v="1083"/>
    <x v="16"/>
    <d v="2024-07-08T00:00:00"/>
    <x v="11"/>
    <x v="5"/>
    <x v="81"/>
    <s v="2024 Jul"/>
  </r>
  <r>
    <n v="1084"/>
    <x v="13"/>
    <d v="2024-07-09T00:00:00"/>
    <x v="5"/>
    <x v="4"/>
    <x v="82"/>
    <s v="2024 Jul"/>
  </r>
  <r>
    <n v="1085"/>
    <x v="4"/>
    <d v="2024-07-10T00:00:00"/>
    <x v="2"/>
    <x v="10"/>
    <x v="83"/>
    <s v="2024 Jul"/>
  </r>
  <r>
    <n v="1086"/>
    <x v="15"/>
    <d v="2024-07-11T00:00:00"/>
    <x v="0"/>
    <x v="4"/>
    <x v="84"/>
    <s v="2024 Jul"/>
  </r>
  <r>
    <n v="1087"/>
    <x v="2"/>
    <d v="2024-07-12T00:00:00"/>
    <x v="10"/>
    <x v="7"/>
    <x v="85"/>
    <s v="2024 Jul"/>
  </r>
  <r>
    <n v="1088"/>
    <x v="18"/>
    <d v="2024-07-13T00:00:00"/>
    <x v="10"/>
    <x v="2"/>
    <x v="86"/>
    <s v="2024 Jul"/>
  </r>
  <r>
    <n v="1089"/>
    <x v="16"/>
    <d v="2024-07-14T00:00:00"/>
    <x v="8"/>
    <x v="0"/>
    <x v="87"/>
    <s v="2024 Jul"/>
  </r>
  <r>
    <n v="1090"/>
    <x v="11"/>
    <d v="2024-07-15T00:00:00"/>
    <x v="0"/>
    <x v="9"/>
    <x v="88"/>
    <s v="2024 Jul"/>
  </r>
  <r>
    <n v="1091"/>
    <x v="0"/>
    <d v="2024-07-16T00:00:00"/>
    <x v="8"/>
    <x v="0"/>
    <x v="89"/>
    <s v="2024 Jul"/>
  </r>
  <r>
    <n v="1092"/>
    <x v="14"/>
    <d v="2024-07-17T00:00:00"/>
    <x v="1"/>
    <x v="2"/>
    <x v="90"/>
    <s v="2024 Jul"/>
  </r>
  <r>
    <n v="1093"/>
    <x v="14"/>
    <d v="2024-07-18T00:00:00"/>
    <x v="7"/>
    <x v="0"/>
    <x v="91"/>
    <s v="2024 Jul"/>
  </r>
  <r>
    <n v="1094"/>
    <x v="11"/>
    <d v="2024-07-19T00:00:00"/>
    <x v="9"/>
    <x v="6"/>
    <x v="92"/>
    <s v="2024 Jul"/>
  </r>
  <r>
    <n v="1095"/>
    <x v="5"/>
    <d v="2024-07-20T00:00:00"/>
    <x v="3"/>
    <x v="1"/>
    <x v="93"/>
    <s v="2024 Jul"/>
  </r>
  <r>
    <n v="1096"/>
    <x v="0"/>
    <d v="2024-07-21T00:00:00"/>
    <x v="10"/>
    <x v="3"/>
    <x v="94"/>
    <s v="2024 Jul"/>
  </r>
  <r>
    <n v="1097"/>
    <x v="11"/>
    <d v="2024-07-22T00:00:00"/>
    <x v="8"/>
    <x v="2"/>
    <x v="95"/>
    <s v="2024 Jul"/>
  </r>
  <r>
    <n v="1098"/>
    <x v="18"/>
    <d v="2024-07-23T00:00:00"/>
    <x v="5"/>
    <x v="10"/>
    <x v="96"/>
    <s v="2024 Jul"/>
  </r>
  <r>
    <n v="1099"/>
    <x v="9"/>
    <d v="2024-07-24T00:00:00"/>
    <x v="7"/>
    <x v="7"/>
    <x v="97"/>
    <s v="2024 Jul"/>
  </r>
  <r>
    <n v="1100"/>
    <x v="15"/>
    <d v="2024-07-25T00:00:00"/>
    <x v="1"/>
    <x v="4"/>
    <x v="98"/>
    <s v="2024 Jul"/>
  </r>
  <r>
    <n v="1101"/>
    <x v="15"/>
    <d v="2024-07-26T00:00:00"/>
    <x v="4"/>
    <x v="1"/>
    <x v="99"/>
    <s v="2024 Jul"/>
  </r>
  <r>
    <n v="1102"/>
    <x v="7"/>
    <d v="2024-07-27T00:00:00"/>
    <x v="3"/>
    <x v="1"/>
    <x v="100"/>
    <s v="2024 Jul"/>
  </r>
  <r>
    <n v="1103"/>
    <x v="12"/>
    <d v="2024-07-28T00:00:00"/>
    <x v="3"/>
    <x v="5"/>
    <x v="101"/>
    <s v="2024 Jul"/>
  </r>
  <r>
    <n v="1104"/>
    <x v="16"/>
    <d v="2024-07-29T00:00:00"/>
    <x v="11"/>
    <x v="5"/>
    <x v="102"/>
    <s v="2024 Jul"/>
  </r>
  <r>
    <n v="1105"/>
    <x v="17"/>
    <d v="2024-07-30T00:00:00"/>
    <x v="10"/>
    <x v="7"/>
    <x v="103"/>
    <s v="2024 Jul"/>
  </r>
  <r>
    <n v="1106"/>
    <x v="1"/>
    <d v="2024-07-31T00:00:00"/>
    <x v="11"/>
    <x v="6"/>
    <x v="104"/>
    <s v="2024 Jul"/>
  </r>
  <r>
    <n v="1107"/>
    <x v="2"/>
    <d v="2024-08-01T00:00:00"/>
    <x v="6"/>
    <x v="9"/>
    <x v="105"/>
    <s v="2024 Aug"/>
  </r>
  <r>
    <n v="1108"/>
    <x v="2"/>
    <d v="2024-08-02T00:00:00"/>
    <x v="3"/>
    <x v="4"/>
    <x v="106"/>
    <s v="2024 Aug"/>
  </r>
  <r>
    <n v="1109"/>
    <x v="15"/>
    <d v="2024-08-03T00:00:00"/>
    <x v="10"/>
    <x v="7"/>
    <x v="107"/>
    <s v="2024 Aug"/>
  </r>
  <r>
    <n v="1110"/>
    <x v="17"/>
    <d v="2024-08-04T00:00:00"/>
    <x v="0"/>
    <x v="3"/>
    <x v="108"/>
    <s v="2024 Aug"/>
  </r>
  <r>
    <n v="1111"/>
    <x v="7"/>
    <d v="2024-08-05T00:00:00"/>
    <x v="9"/>
    <x v="10"/>
    <x v="109"/>
    <s v="2024 Aug"/>
  </r>
  <r>
    <n v="1112"/>
    <x v="16"/>
    <d v="2024-08-06T00:00:00"/>
    <x v="9"/>
    <x v="7"/>
    <x v="110"/>
    <s v="2024 Aug"/>
  </r>
  <r>
    <n v="1113"/>
    <x v="11"/>
    <d v="2024-08-07T00:00:00"/>
    <x v="6"/>
    <x v="9"/>
    <x v="111"/>
    <s v="2024 Aug"/>
  </r>
  <r>
    <n v="1114"/>
    <x v="2"/>
    <d v="2024-08-08T00:00:00"/>
    <x v="11"/>
    <x v="0"/>
    <x v="112"/>
    <s v="2024 Aug"/>
  </r>
  <r>
    <n v="1115"/>
    <x v="10"/>
    <d v="2024-08-09T00:00:00"/>
    <x v="10"/>
    <x v="1"/>
    <x v="113"/>
    <s v="2024 Aug"/>
  </r>
  <r>
    <n v="1116"/>
    <x v="18"/>
    <d v="2024-08-10T00:00:00"/>
    <x v="8"/>
    <x v="5"/>
    <x v="114"/>
    <s v="2024 Aug"/>
  </r>
  <r>
    <n v="1117"/>
    <x v="5"/>
    <d v="2024-08-11T00:00:00"/>
    <x v="5"/>
    <x v="9"/>
    <x v="115"/>
    <s v="2024 Aug"/>
  </r>
  <r>
    <n v="1118"/>
    <x v="7"/>
    <d v="2024-08-12T00:00:00"/>
    <x v="8"/>
    <x v="5"/>
    <x v="116"/>
    <s v="2024 Aug"/>
  </r>
  <r>
    <n v="1119"/>
    <x v="2"/>
    <d v="2024-08-13T00:00:00"/>
    <x v="3"/>
    <x v="2"/>
    <x v="117"/>
    <s v="2024 Aug"/>
  </r>
  <r>
    <n v="1120"/>
    <x v="14"/>
    <d v="2024-08-14T00:00:00"/>
    <x v="10"/>
    <x v="3"/>
    <x v="118"/>
    <s v="2024 Aug"/>
  </r>
  <r>
    <n v="1121"/>
    <x v="17"/>
    <d v="2024-08-15T00:00:00"/>
    <x v="3"/>
    <x v="4"/>
    <x v="119"/>
    <s v="2024 Aug"/>
  </r>
  <r>
    <n v="1122"/>
    <x v="7"/>
    <d v="2024-08-16T00:00:00"/>
    <x v="1"/>
    <x v="7"/>
    <x v="120"/>
    <s v="2024 Aug"/>
  </r>
  <r>
    <n v="1123"/>
    <x v="0"/>
    <d v="2024-08-17T00:00:00"/>
    <x v="8"/>
    <x v="9"/>
    <x v="121"/>
    <s v="2024 Aug"/>
  </r>
  <r>
    <n v="1124"/>
    <x v="19"/>
    <d v="2024-08-18T00:00:00"/>
    <x v="2"/>
    <x v="8"/>
    <x v="122"/>
    <s v="2024 Aug"/>
  </r>
  <r>
    <n v="1125"/>
    <x v="3"/>
    <d v="2024-08-19T00:00:00"/>
    <x v="11"/>
    <x v="6"/>
    <x v="123"/>
    <s v="2024 Aug"/>
  </r>
  <r>
    <n v="1126"/>
    <x v="4"/>
    <d v="2024-08-20T00:00:00"/>
    <x v="0"/>
    <x v="7"/>
    <x v="124"/>
    <s v="2024 Aug"/>
  </r>
  <r>
    <n v="1127"/>
    <x v="13"/>
    <d v="2024-08-21T00:00:00"/>
    <x v="4"/>
    <x v="3"/>
    <x v="125"/>
    <s v="2024 Aug"/>
  </r>
  <r>
    <n v="1128"/>
    <x v="9"/>
    <d v="2024-08-22T00:00:00"/>
    <x v="0"/>
    <x v="2"/>
    <x v="126"/>
    <s v="2024 Aug"/>
  </r>
  <r>
    <n v="1129"/>
    <x v="11"/>
    <d v="2024-08-23T00:00:00"/>
    <x v="7"/>
    <x v="0"/>
    <x v="127"/>
    <s v="2024 Aug"/>
  </r>
  <r>
    <n v="1130"/>
    <x v="0"/>
    <d v="2024-08-24T00:00:00"/>
    <x v="7"/>
    <x v="10"/>
    <x v="128"/>
    <s v="2024 Aug"/>
  </r>
  <r>
    <n v="1131"/>
    <x v="3"/>
    <d v="2024-08-25T00:00:00"/>
    <x v="1"/>
    <x v="4"/>
    <x v="129"/>
    <s v="2024 Aug"/>
  </r>
  <r>
    <n v="1132"/>
    <x v="3"/>
    <d v="2024-08-26T00:00:00"/>
    <x v="3"/>
    <x v="1"/>
    <x v="130"/>
    <s v="2024 Aug"/>
  </r>
  <r>
    <n v="1133"/>
    <x v="11"/>
    <d v="2024-08-27T00:00:00"/>
    <x v="7"/>
    <x v="2"/>
    <x v="131"/>
    <s v="2024 Aug"/>
  </r>
  <r>
    <n v="1134"/>
    <x v="7"/>
    <d v="2024-08-28T00:00:00"/>
    <x v="5"/>
    <x v="3"/>
    <x v="132"/>
    <s v="2024 Aug"/>
  </r>
  <r>
    <n v="1135"/>
    <x v="17"/>
    <d v="2024-08-29T00:00:00"/>
    <x v="11"/>
    <x v="6"/>
    <x v="133"/>
    <s v="2024 Aug"/>
  </r>
  <r>
    <n v="1136"/>
    <x v="1"/>
    <d v="2024-08-30T00:00:00"/>
    <x v="8"/>
    <x v="0"/>
    <x v="134"/>
    <s v="2024 Aug"/>
  </r>
  <r>
    <n v="1137"/>
    <x v="14"/>
    <d v="2024-08-31T00:00:00"/>
    <x v="5"/>
    <x v="0"/>
    <x v="135"/>
    <s v="2024 Aug"/>
  </r>
  <r>
    <n v="1138"/>
    <x v="19"/>
    <d v="2024-09-01T00:00:00"/>
    <x v="3"/>
    <x v="5"/>
    <x v="136"/>
    <s v="2024 Sep"/>
  </r>
  <r>
    <n v="1139"/>
    <x v="10"/>
    <d v="2024-09-02T00:00:00"/>
    <x v="11"/>
    <x v="1"/>
    <x v="137"/>
    <s v="2024 Sep"/>
  </r>
  <r>
    <n v="1140"/>
    <x v="19"/>
    <d v="2024-09-03T00:00:00"/>
    <x v="5"/>
    <x v="2"/>
    <x v="138"/>
    <s v="2024 Sep"/>
  </r>
  <r>
    <n v="1141"/>
    <x v="15"/>
    <d v="2024-09-04T00:00:00"/>
    <x v="10"/>
    <x v="9"/>
    <x v="139"/>
    <s v="2024 Sep"/>
  </r>
  <r>
    <n v="1142"/>
    <x v="7"/>
    <d v="2024-09-05T00:00:00"/>
    <x v="5"/>
    <x v="10"/>
    <x v="140"/>
    <s v="2024 Sep"/>
  </r>
  <r>
    <n v="1143"/>
    <x v="5"/>
    <d v="2024-09-06T00:00:00"/>
    <x v="8"/>
    <x v="3"/>
    <x v="141"/>
    <s v="2024 Sep"/>
  </r>
  <r>
    <n v="1144"/>
    <x v="14"/>
    <d v="2024-09-07T00:00:00"/>
    <x v="2"/>
    <x v="0"/>
    <x v="142"/>
    <s v="2024 Sep"/>
  </r>
  <r>
    <n v="1145"/>
    <x v="3"/>
    <d v="2024-09-08T00:00:00"/>
    <x v="12"/>
    <x v="5"/>
    <x v="143"/>
    <s v="2024 Sep"/>
  </r>
  <r>
    <n v="1146"/>
    <x v="1"/>
    <d v="2024-09-09T00:00:00"/>
    <x v="7"/>
    <x v="9"/>
    <x v="144"/>
    <s v="2024 Sep"/>
  </r>
  <r>
    <n v="1147"/>
    <x v="5"/>
    <d v="2024-09-10T00:00:00"/>
    <x v="8"/>
    <x v="6"/>
    <x v="145"/>
    <s v="2024 Sep"/>
  </r>
  <r>
    <n v="1148"/>
    <x v="10"/>
    <d v="2024-09-11T00:00:00"/>
    <x v="3"/>
    <x v="0"/>
    <x v="146"/>
    <s v="2024 Sep"/>
  </r>
  <r>
    <n v="1149"/>
    <x v="16"/>
    <d v="2024-09-12T00:00:00"/>
    <x v="3"/>
    <x v="7"/>
    <x v="147"/>
    <s v="2024 Sep"/>
  </r>
  <r>
    <n v="1150"/>
    <x v="13"/>
    <d v="2024-09-13T00:00:00"/>
    <x v="6"/>
    <x v="9"/>
    <x v="148"/>
    <s v="2024 Sep"/>
  </r>
  <r>
    <n v="1151"/>
    <x v="3"/>
    <d v="2024-09-14T00:00:00"/>
    <x v="11"/>
    <x v="9"/>
    <x v="149"/>
    <s v="2024 Sep"/>
  </r>
  <r>
    <n v="1152"/>
    <x v="14"/>
    <d v="2024-09-15T00:00:00"/>
    <x v="7"/>
    <x v="0"/>
    <x v="150"/>
    <s v="2024 Sep"/>
  </r>
  <r>
    <n v="1153"/>
    <x v="13"/>
    <d v="2024-09-16T00:00:00"/>
    <x v="4"/>
    <x v="4"/>
    <x v="151"/>
    <s v="2024 Sep"/>
  </r>
  <r>
    <n v="1154"/>
    <x v="14"/>
    <d v="2024-09-17T00:00:00"/>
    <x v="8"/>
    <x v="2"/>
    <x v="152"/>
    <s v="2024 Sep"/>
  </r>
  <r>
    <n v="1155"/>
    <x v="9"/>
    <d v="2024-09-18T00:00:00"/>
    <x v="10"/>
    <x v="1"/>
    <x v="153"/>
    <s v="2024 Sep"/>
  </r>
  <r>
    <n v="1156"/>
    <x v="18"/>
    <d v="2024-09-19T00:00:00"/>
    <x v="8"/>
    <x v="2"/>
    <x v="154"/>
    <s v="2024 Sep"/>
  </r>
  <r>
    <n v="1157"/>
    <x v="11"/>
    <d v="2024-09-20T00:00:00"/>
    <x v="9"/>
    <x v="9"/>
    <x v="155"/>
    <s v="2024 Sep"/>
  </r>
  <r>
    <n v="1158"/>
    <x v="14"/>
    <d v="2024-09-21T00:00:00"/>
    <x v="9"/>
    <x v="6"/>
    <x v="156"/>
    <s v="2024 Sep"/>
  </r>
  <r>
    <n v="1159"/>
    <x v="10"/>
    <d v="2024-09-22T00:00:00"/>
    <x v="0"/>
    <x v="4"/>
    <x v="157"/>
    <s v="2024 Sep"/>
  </r>
  <r>
    <n v="1160"/>
    <x v="18"/>
    <d v="2024-09-23T00:00:00"/>
    <x v="5"/>
    <x v="4"/>
    <x v="158"/>
    <s v="2024 Sep"/>
  </r>
  <r>
    <n v="1161"/>
    <x v="17"/>
    <d v="2024-09-24T00:00:00"/>
    <x v="3"/>
    <x v="0"/>
    <x v="159"/>
    <s v="2024 Sep"/>
  </r>
  <r>
    <n v="1162"/>
    <x v="9"/>
    <d v="2024-09-25T00:00:00"/>
    <x v="9"/>
    <x v="5"/>
    <x v="160"/>
    <s v="2024 Sep"/>
  </r>
  <r>
    <n v="1163"/>
    <x v="14"/>
    <d v="2024-09-26T00:00:00"/>
    <x v="6"/>
    <x v="0"/>
    <x v="161"/>
    <s v="2024 Sep"/>
  </r>
  <r>
    <n v="1164"/>
    <x v="14"/>
    <d v="2024-09-27T00:00:00"/>
    <x v="0"/>
    <x v="6"/>
    <x v="162"/>
    <s v="2024 Sep"/>
  </r>
  <r>
    <n v="1165"/>
    <x v="15"/>
    <d v="2024-09-28T00:00:00"/>
    <x v="11"/>
    <x v="9"/>
    <x v="163"/>
    <s v="2024 Sep"/>
  </r>
  <r>
    <n v="1166"/>
    <x v="0"/>
    <d v="2024-09-29T00:00:00"/>
    <x v="11"/>
    <x v="10"/>
    <x v="164"/>
    <s v="2024 Sep"/>
  </r>
  <r>
    <n v="1167"/>
    <x v="3"/>
    <d v="2024-09-30T00:00:00"/>
    <x v="6"/>
    <x v="2"/>
    <x v="165"/>
    <s v="2024 Sep"/>
  </r>
  <r>
    <n v="1168"/>
    <x v="8"/>
    <d v="2024-10-01T00:00:00"/>
    <x v="9"/>
    <x v="4"/>
    <x v="166"/>
    <s v="2024 Oct"/>
  </r>
  <r>
    <n v="1169"/>
    <x v="8"/>
    <d v="2024-10-02T00:00:00"/>
    <x v="3"/>
    <x v="6"/>
    <x v="167"/>
    <s v="2024 Oct"/>
  </r>
  <r>
    <n v="1170"/>
    <x v="5"/>
    <d v="2024-10-03T00:00:00"/>
    <x v="0"/>
    <x v="2"/>
    <x v="168"/>
    <s v="2024 Oct"/>
  </r>
  <r>
    <n v="1171"/>
    <x v="14"/>
    <d v="2024-10-04T00:00:00"/>
    <x v="4"/>
    <x v="9"/>
    <x v="169"/>
    <s v="2024 Oct"/>
  </r>
  <r>
    <n v="1172"/>
    <x v="15"/>
    <d v="2024-10-05T00:00:00"/>
    <x v="4"/>
    <x v="4"/>
    <x v="170"/>
    <s v="2024 Oct"/>
  </r>
  <r>
    <n v="1173"/>
    <x v="13"/>
    <d v="2024-10-06T00:00:00"/>
    <x v="4"/>
    <x v="4"/>
    <x v="171"/>
    <s v="2024 Oct"/>
  </r>
  <r>
    <n v="1174"/>
    <x v="16"/>
    <d v="2024-10-07T00:00:00"/>
    <x v="10"/>
    <x v="6"/>
    <x v="172"/>
    <s v="2024 Oct"/>
  </r>
  <r>
    <n v="1175"/>
    <x v="9"/>
    <d v="2024-10-08T00:00:00"/>
    <x v="7"/>
    <x v="2"/>
    <x v="173"/>
    <s v="2024 Oct"/>
  </r>
  <r>
    <n v="1176"/>
    <x v="0"/>
    <d v="2024-10-09T00:00:00"/>
    <x v="1"/>
    <x v="5"/>
    <x v="13"/>
    <s v="2024 Oct"/>
  </r>
  <r>
    <n v="1177"/>
    <x v="3"/>
    <d v="2024-10-10T00:00:00"/>
    <x v="12"/>
    <x v="1"/>
    <x v="174"/>
    <s v="2024 Oct"/>
  </r>
  <r>
    <n v="1178"/>
    <x v="8"/>
    <d v="2024-10-11T00:00:00"/>
    <x v="1"/>
    <x v="1"/>
    <x v="175"/>
    <s v="2024 Oct"/>
  </r>
  <r>
    <n v="1179"/>
    <x v="7"/>
    <d v="2024-10-12T00:00:00"/>
    <x v="5"/>
    <x v="9"/>
    <x v="176"/>
    <s v="2024 Oct"/>
  </r>
  <r>
    <n v="1180"/>
    <x v="0"/>
    <d v="2024-10-13T00:00:00"/>
    <x v="3"/>
    <x v="9"/>
    <x v="177"/>
    <s v="2024 Oct"/>
  </r>
  <r>
    <n v="1181"/>
    <x v="8"/>
    <d v="2024-10-14T00:00:00"/>
    <x v="10"/>
    <x v="9"/>
    <x v="178"/>
    <s v="2024 Oct"/>
  </r>
  <r>
    <n v="1182"/>
    <x v="0"/>
    <d v="2024-10-15T00:00:00"/>
    <x v="1"/>
    <x v="1"/>
    <x v="179"/>
    <s v="2024 Oct"/>
  </r>
  <r>
    <n v="1183"/>
    <x v="17"/>
    <d v="2024-10-16T00:00:00"/>
    <x v="9"/>
    <x v="1"/>
    <x v="180"/>
    <s v="2024 Oct"/>
  </r>
  <r>
    <n v="1184"/>
    <x v="14"/>
    <d v="2024-10-17T00:00:00"/>
    <x v="2"/>
    <x v="3"/>
    <x v="181"/>
    <s v="2024 Oct"/>
  </r>
  <r>
    <n v="1185"/>
    <x v="5"/>
    <d v="2024-10-18T00:00:00"/>
    <x v="5"/>
    <x v="6"/>
    <x v="182"/>
    <s v="2024 Oct"/>
  </r>
  <r>
    <n v="1186"/>
    <x v="10"/>
    <d v="2024-10-19T00:00:00"/>
    <x v="0"/>
    <x v="6"/>
    <x v="183"/>
    <s v="2024 Oct"/>
  </r>
  <r>
    <n v="1187"/>
    <x v="7"/>
    <d v="2024-10-20T00:00:00"/>
    <x v="7"/>
    <x v="9"/>
    <x v="184"/>
    <s v="2024 Oct"/>
  </r>
  <r>
    <n v="1188"/>
    <x v="12"/>
    <d v="2024-10-21T00:00:00"/>
    <x v="1"/>
    <x v="4"/>
    <x v="185"/>
    <s v="2024 Oct"/>
  </r>
  <r>
    <n v="1189"/>
    <x v="18"/>
    <d v="2024-10-22T00:00:00"/>
    <x v="11"/>
    <x v="5"/>
    <x v="186"/>
    <s v="2024 Oct"/>
  </r>
  <r>
    <n v="1190"/>
    <x v="10"/>
    <d v="2024-10-23T00:00:00"/>
    <x v="9"/>
    <x v="0"/>
    <x v="187"/>
    <s v="2024 Oct"/>
  </r>
  <r>
    <n v="1191"/>
    <x v="14"/>
    <d v="2024-10-24T00:00:00"/>
    <x v="2"/>
    <x v="2"/>
    <x v="188"/>
    <s v="2024 Oct"/>
  </r>
  <r>
    <n v="1192"/>
    <x v="19"/>
    <d v="2024-10-25T00:00:00"/>
    <x v="4"/>
    <x v="2"/>
    <x v="189"/>
    <s v="2024 Oct"/>
  </r>
  <r>
    <n v="1193"/>
    <x v="17"/>
    <d v="2024-10-26T00:00:00"/>
    <x v="8"/>
    <x v="2"/>
    <x v="190"/>
    <s v="2024 Oct"/>
  </r>
  <r>
    <n v="1194"/>
    <x v="15"/>
    <d v="2024-10-27T00:00:00"/>
    <x v="7"/>
    <x v="4"/>
    <x v="191"/>
    <s v="2024 Oct"/>
  </r>
  <r>
    <n v="1195"/>
    <x v="16"/>
    <d v="2024-10-28T00:00:00"/>
    <x v="10"/>
    <x v="3"/>
    <x v="192"/>
    <s v="2024 Oct"/>
  </r>
  <r>
    <n v="1196"/>
    <x v="0"/>
    <d v="2024-10-29T00:00:00"/>
    <x v="9"/>
    <x v="0"/>
    <x v="193"/>
    <s v="2024 Oct"/>
  </r>
  <r>
    <n v="1197"/>
    <x v="10"/>
    <d v="2024-10-30T00:00:00"/>
    <x v="1"/>
    <x v="9"/>
    <x v="194"/>
    <s v="2024 Oct"/>
  </r>
  <r>
    <n v="1198"/>
    <x v="13"/>
    <d v="2024-10-31T00:00:00"/>
    <x v="6"/>
    <x v="3"/>
    <x v="195"/>
    <s v="2024 Oct"/>
  </r>
  <r>
    <n v="1199"/>
    <x v="18"/>
    <d v="2024-11-01T00:00:00"/>
    <x v="9"/>
    <x v="1"/>
    <x v="196"/>
    <s v="2024 Nov"/>
  </r>
  <r>
    <n v="1200"/>
    <x v="12"/>
    <d v="2024-11-02T00:00:00"/>
    <x v="11"/>
    <x v="5"/>
    <x v="197"/>
    <s v="2024 Nov"/>
  </r>
  <r>
    <n v="1201"/>
    <x v="11"/>
    <d v="2024-11-03T00:00:00"/>
    <x v="11"/>
    <x v="10"/>
    <x v="198"/>
    <s v="2024 Nov"/>
  </r>
  <r>
    <n v="1202"/>
    <x v="12"/>
    <d v="2024-11-04T00:00:00"/>
    <x v="11"/>
    <x v="2"/>
    <x v="199"/>
    <s v="2024 Nov"/>
  </r>
  <r>
    <n v="1203"/>
    <x v="16"/>
    <d v="2024-11-05T00:00:00"/>
    <x v="9"/>
    <x v="3"/>
    <x v="200"/>
    <s v="2024 Nov"/>
  </r>
  <r>
    <n v="1204"/>
    <x v="16"/>
    <d v="2024-11-06T00:00:00"/>
    <x v="7"/>
    <x v="3"/>
    <x v="201"/>
    <s v="2024 Nov"/>
  </r>
  <r>
    <n v="1205"/>
    <x v="19"/>
    <d v="2024-11-07T00:00:00"/>
    <x v="3"/>
    <x v="4"/>
    <x v="202"/>
    <s v="2024 Nov"/>
  </r>
  <r>
    <n v="1206"/>
    <x v="11"/>
    <d v="2024-11-08T00:00:00"/>
    <x v="4"/>
    <x v="2"/>
    <x v="203"/>
    <s v="2024 Nov"/>
  </r>
  <r>
    <n v="1207"/>
    <x v="8"/>
    <d v="2024-11-09T00:00:00"/>
    <x v="0"/>
    <x v="9"/>
    <x v="204"/>
    <s v="2024 Nov"/>
  </r>
  <r>
    <n v="1208"/>
    <x v="6"/>
    <d v="2024-11-10T00:00:00"/>
    <x v="7"/>
    <x v="0"/>
    <x v="205"/>
    <s v="2024 Nov"/>
  </r>
  <r>
    <n v="1209"/>
    <x v="14"/>
    <d v="2024-11-11T00:00:00"/>
    <x v="6"/>
    <x v="1"/>
    <x v="206"/>
    <s v="2024 Nov"/>
  </r>
  <r>
    <n v="1210"/>
    <x v="10"/>
    <d v="2024-11-12T00:00:00"/>
    <x v="5"/>
    <x v="4"/>
    <x v="207"/>
    <s v="2024 Nov"/>
  </r>
  <r>
    <n v="1211"/>
    <x v="7"/>
    <d v="2024-11-13T00:00:00"/>
    <x v="5"/>
    <x v="10"/>
    <x v="208"/>
    <s v="2024 Nov"/>
  </r>
  <r>
    <n v="1212"/>
    <x v="1"/>
    <d v="2024-11-14T00:00:00"/>
    <x v="11"/>
    <x v="4"/>
    <x v="209"/>
    <s v="2024 Nov"/>
  </r>
  <r>
    <n v="1213"/>
    <x v="8"/>
    <d v="2024-11-15T00:00:00"/>
    <x v="1"/>
    <x v="0"/>
    <x v="210"/>
    <s v="2024 Nov"/>
  </r>
  <r>
    <n v="1214"/>
    <x v="18"/>
    <d v="2024-11-16T00:00:00"/>
    <x v="11"/>
    <x v="6"/>
    <x v="211"/>
    <s v="2024 Nov"/>
  </r>
  <r>
    <n v="1215"/>
    <x v="0"/>
    <d v="2024-11-17T00:00:00"/>
    <x v="0"/>
    <x v="9"/>
    <x v="212"/>
    <s v="2024 Nov"/>
  </r>
  <r>
    <n v="1216"/>
    <x v="13"/>
    <d v="2024-11-18T00:00:00"/>
    <x v="0"/>
    <x v="9"/>
    <x v="213"/>
    <s v="2024 Nov"/>
  </r>
  <r>
    <n v="1217"/>
    <x v="18"/>
    <d v="2024-11-19T00:00:00"/>
    <x v="3"/>
    <x v="7"/>
    <x v="214"/>
    <s v="2024 Nov"/>
  </r>
  <r>
    <n v="1218"/>
    <x v="16"/>
    <d v="2024-11-20T00:00:00"/>
    <x v="8"/>
    <x v="2"/>
    <x v="215"/>
    <s v="2024 Nov"/>
  </r>
  <r>
    <n v="1219"/>
    <x v="12"/>
    <d v="2024-11-21T00:00:00"/>
    <x v="2"/>
    <x v="3"/>
    <x v="216"/>
    <s v="2024 Nov"/>
  </r>
  <r>
    <n v="1220"/>
    <x v="17"/>
    <d v="2024-11-22T00:00:00"/>
    <x v="10"/>
    <x v="7"/>
    <x v="217"/>
    <s v="2024 Nov"/>
  </r>
  <r>
    <n v="1221"/>
    <x v="6"/>
    <d v="2024-11-23T00:00:00"/>
    <x v="2"/>
    <x v="3"/>
    <x v="218"/>
    <s v="2024 Nov"/>
  </r>
  <r>
    <n v="1222"/>
    <x v="10"/>
    <d v="2024-11-24T00:00:00"/>
    <x v="7"/>
    <x v="10"/>
    <x v="219"/>
    <s v="2024 Nov"/>
  </r>
  <r>
    <n v="1223"/>
    <x v="8"/>
    <d v="2024-11-25T00:00:00"/>
    <x v="9"/>
    <x v="2"/>
    <x v="220"/>
    <s v="2024 Nov"/>
  </r>
  <r>
    <n v="1224"/>
    <x v="2"/>
    <d v="2024-11-26T00:00:00"/>
    <x v="5"/>
    <x v="6"/>
    <x v="221"/>
    <s v="2024 Nov"/>
  </r>
  <r>
    <n v="1225"/>
    <x v="7"/>
    <d v="2024-11-27T00:00:00"/>
    <x v="0"/>
    <x v="4"/>
    <x v="222"/>
    <s v="2024 Nov"/>
  </r>
  <r>
    <n v="1226"/>
    <x v="9"/>
    <d v="2024-11-28T00:00:00"/>
    <x v="1"/>
    <x v="5"/>
    <x v="223"/>
    <s v="2024 Nov"/>
  </r>
  <r>
    <n v="1227"/>
    <x v="10"/>
    <d v="2024-11-29T00:00:00"/>
    <x v="5"/>
    <x v="7"/>
    <x v="224"/>
    <s v="2024 Nov"/>
  </r>
  <r>
    <n v="1228"/>
    <x v="19"/>
    <d v="2024-11-30T00:00:00"/>
    <x v="2"/>
    <x v="7"/>
    <x v="225"/>
    <s v="2024 Nov"/>
  </r>
  <r>
    <n v="1229"/>
    <x v="5"/>
    <d v="2024-12-01T00:00:00"/>
    <x v="3"/>
    <x v="2"/>
    <x v="226"/>
    <s v="2024 Dec"/>
  </r>
  <r>
    <n v="1230"/>
    <x v="5"/>
    <d v="2024-12-02T00:00:00"/>
    <x v="11"/>
    <x v="2"/>
    <x v="227"/>
    <s v="2024 Dec"/>
  </r>
  <r>
    <n v="1231"/>
    <x v="18"/>
    <d v="2024-12-03T00:00:00"/>
    <x v="11"/>
    <x v="9"/>
    <x v="228"/>
    <s v="2024 Dec"/>
  </r>
  <r>
    <n v="1232"/>
    <x v="16"/>
    <d v="2024-12-04T00:00:00"/>
    <x v="9"/>
    <x v="2"/>
    <x v="229"/>
    <s v="2024 Dec"/>
  </r>
  <r>
    <n v="1233"/>
    <x v="19"/>
    <d v="2024-12-05T00:00:00"/>
    <x v="9"/>
    <x v="0"/>
    <x v="230"/>
    <s v="2024 Dec"/>
  </r>
  <r>
    <n v="1234"/>
    <x v="0"/>
    <d v="2024-12-06T00:00:00"/>
    <x v="1"/>
    <x v="6"/>
    <x v="231"/>
    <s v="2024 Dec"/>
  </r>
  <r>
    <n v="1235"/>
    <x v="0"/>
    <d v="2024-12-07T00:00:00"/>
    <x v="1"/>
    <x v="0"/>
    <x v="232"/>
    <s v="2024 Dec"/>
  </r>
  <r>
    <n v="1236"/>
    <x v="4"/>
    <d v="2024-12-08T00:00:00"/>
    <x v="4"/>
    <x v="5"/>
    <x v="233"/>
    <s v="2024 Dec"/>
  </r>
  <r>
    <n v="1237"/>
    <x v="8"/>
    <d v="2024-12-09T00:00:00"/>
    <x v="7"/>
    <x v="0"/>
    <x v="234"/>
    <s v="2024 Dec"/>
  </r>
  <r>
    <n v="1238"/>
    <x v="17"/>
    <d v="2024-12-10T00:00:00"/>
    <x v="8"/>
    <x v="3"/>
    <x v="235"/>
    <s v="2024 Dec"/>
  </r>
  <r>
    <n v="1239"/>
    <x v="5"/>
    <d v="2024-12-11T00:00:00"/>
    <x v="0"/>
    <x v="6"/>
    <x v="236"/>
    <s v="2024 Dec"/>
  </r>
  <r>
    <n v="1240"/>
    <x v="13"/>
    <d v="2024-12-12T00:00:00"/>
    <x v="0"/>
    <x v="0"/>
    <x v="237"/>
    <s v="2024 Dec"/>
  </r>
  <r>
    <n v="1241"/>
    <x v="15"/>
    <d v="2024-12-13T00:00:00"/>
    <x v="1"/>
    <x v="10"/>
    <x v="13"/>
    <s v="2024 Dec"/>
  </r>
  <r>
    <n v="1242"/>
    <x v="5"/>
    <d v="2024-12-14T00:00:00"/>
    <x v="3"/>
    <x v="10"/>
    <x v="238"/>
    <s v="2024 Dec"/>
  </r>
  <r>
    <n v="1243"/>
    <x v="4"/>
    <d v="2024-12-15T00:00:00"/>
    <x v="4"/>
    <x v="10"/>
    <x v="239"/>
    <s v="2024 Dec"/>
  </r>
  <r>
    <n v="1244"/>
    <x v="1"/>
    <d v="2024-12-16T00:00:00"/>
    <x v="3"/>
    <x v="4"/>
    <x v="240"/>
    <s v="2024 Dec"/>
  </r>
  <r>
    <n v="1245"/>
    <x v="4"/>
    <d v="2024-12-17T00:00:00"/>
    <x v="5"/>
    <x v="5"/>
    <x v="241"/>
    <s v="2024 Dec"/>
  </r>
  <r>
    <n v="1246"/>
    <x v="12"/>
    <d v="2024-12-18T00:00:00"/>
    <x v="8"/>
    <x v="6"/>
    <x v="242"/>
    <s v="2024 Dec"/>
  </r>
  <r>
    <n v="1247"/>
    <x v="10"/>
    <d v="2024-12-19T00:00:00"/>
    <x v="9"/>
    <x v="6"/>
    <x v="243"/>
    <s v="2024 Dec"/>
  </r>
  <r>
    <n v="1248"/>
    <x v="18"/>
    <d v="2024-12-20T00:00:00"/>
    <x v="1"/>
    <x v="2"/>
    <x v="244"/>
    <s v="2024 Dec"/>
  </r>
  <r>
    <n v="1249"/>
    <x v="5"/>
    <d v="2024-12-21T00:00:00"/>
    <x v="7"/>
    <x v="10"/>
    <x v="245"/>
    <s v="2024 Dec"/>
  </r>
  <r>
    <n v="1250"/>
    <x v="9"/>
    <d v="2024-12-22T00:00:00"/>
    <x v="4"/>
    <x v="6"/>
    <x v="246"/>
    <s v="2024 Dec"/>
  </r>
  <r>
    <n v="1251"/>
    <x v="5"/>
    <d v="2024-12-23T00:00:00"/>
    <x v="2"/>
    <x v="0"/>
    <x v="247"/>
    <s v="2024 Dec"/>
  </r>
  <r>
    <n v="1252"/>
    <x v="0"/>
    <d v="2024-12-24T00:00:00"/>
    <x v="2"/>
    <x v="4"/>
    <x v="248"/>
    <s v="2024 Dec"/>
  </r>
  <r>
    <n v="1253"/>
    <x v="17"/>
    <d v="2024-12-25T00:00:00"/>
    <x v="4"/>
    <x v="2"/>
    <x v="249"/>
    <s v="2024 Dec"/>
  </r>
  <r>
    <n v="1254"/>
    <x v="11"/>
    <d v="2024-12-26T00:00:00"/>
    <x v="9"/>
    <x v="10"/>
    <x v="250"/>
    <s v="2024 Dec"/>
  </r>
  <r>
    <n v="1255"/>
    <x v="2"/>
    <d v="2024-12-27T00:00:00"/>
    <x v="11"/>
    <x v="10"/>
    <x v="251"/>
    <s v="2024 Dec"/>
  </r>
  <r>
    <n v="1256"/>
    <x v="0"/>
    <d v="2024-12-28T00:00:00"/>
    <x v="2"/>
    <x v="2"/>
    <x v="252"/>
    <s v="2024 Dec"/>
  </r>
  <r>
    <n v="1257"/>
    <x v="6"/>
    <d v="2024-12-29T00:00:00"/>
    <x v="8"/>
    <x v="3"/>
    <x v="216"/>
    <s v="2024 Dec"/>
  </r>
  <r>
    <n v="1258"/>
    <x v="19"/>
    <d v="2024-12-30T00:00:00"/>
    <x v="9"/>
    <x v="3"/>
    <x v="253"/>
    <s v="2024 Dec"/>
  </r>
  <r>
    <n v="1259"/>
    <x v="16"/>
    <d v="2024-12-31T00:00:00"/>
    <x v="11"/>
    <x v="1"/>
    <x v="254"/>
    <s v="2024 Dec"/>
  </r>
  <r>
    <n v="1260"/>
    <x v="6"/>
    <d v="2025-01-01T00:00:00"/>
    <x v="6"/>
    <x v="1"/>
    <x v="255"/>
    <s v="2025 Jan"/>
  </r>
  <r>
    <n v="1261"/>
    <x v="3"/>
    <d v="2025-01-02T00:00:00"/>
    <x v="10"/>
    <x v="6"/>
    <x v="256"/>
    <s v="2025 Jan"/>
  </r>
  <r>
    <n v="1262"/>
    <x v="13"/>
    <d v="2025-01-03T00:00:00"/>
    <x v="1"/>
    <x v="1"/>
    <x v="257"/>
    <s v="2025 Jan"/>
  </r>
  <r>
    <n v="1263"/>
    <x v="4"/>
    <d v="2025-01-04T00:00:00"/>
    <x v="11"/>
    <x v="4"/>
    <x v="258"/>
    <s v="2025 Jan"/>
  </r>
  <r>
    <n v="1264"/>
    <x v="19"/>
    <d v="2025-01-05T00:00:00"/>
    <x v="2"/>
    <x v="2"/>
    <x v="259"/>
    <s v="2025 Jan"/>
  </r>
  <r>
    <n v="1265"/>
    <x v="16"/>
    <d v="2025-01-06T00:00:00"/>
    <x v="3"/>
    <x v="3"/>
    <x v="260"/>
    <s v="2025 Jan"/>
  </r>
  <r>
    <n v="1266"/>
    <x v="19"/>
    <d v="2025-01-07T00:00:00"/>
    <x v="6"/>
    <x v="4"/>
    <x v="261"/>
    <s v="2025 Jan"/>
  </r>
  <r>
    <n v="1267"/>
    <x v="8"/>
    <d v="2025-01-08T00:00:00"/>
    <x v="9"/>
    <x v="9"/>
    <x v="262"/>
    <s v="2025 Jan"/>
  </r>
  <r>
    <n v="1268"/>
    <x v="5"/>
    <d v="2025-01-09T00:00:00"/>
    <x v="5"/>
    <x v="10"/>
    <x v="263"/>
    <s v="2025 Jan"/>
  </r>
  <r>
    <n v="1269"/>
    <x v="10"/>
    <d v="2025-01-10T00:00:00"/>
    <x v="5"/>
    <x v="5"/>
    <x v="264"/>
    <s v="2025 Jan"/>
  </r>
  <r>
    <n v="1270"/>
    <x v="17"/>
    <d v="2025-01-11T00:00:00"/>
    <x v="9"/>
    <x v="1"/>
    <x v="265"/>
    <s v="2025 Jan"/>
  </r>
  <r>
    <n v="1271"/>
    <x v="5"/>
    <d v="2025-01-12T00:00:00"/>
    <x v="1"/>
    <x v="4"/>
    <x v="266"/>
    <s v="2025 Jan"/>
  </r>
  <r>
    <n v="1272"/>
    <x v="8"/>
    <d v="2025-01-13T00:00:00"/>
    <x v="7"/>
    <x v="3"/>
    <x v="267"/>
    <s v="2025 Jan"/>
  </r>
  <r>
    <n v="1273"/>
    <x v="6"/>
    <d v="2025-01-14T00:00:00"/>
    <x v="0"/>
    <x v="2"/>
    <x v="268"/>
    <s v="2025 Jan"/>
  </r>
  <r>
    <n v="1274"/>
    <x v="7"/>
    <d v="2025-01-15T00:00:00"/>
    <x v="4"/>
    <x v="1"/>
    <x v="269"/>
    <s v="2025 Jan"/>
  </r>
  <r>
    <n v="1275"/>
    <x v="3"/>
    <d v="2025-01-16T00:00:00"/>
    <x v="9"/>
    <x v="4"/>
    <x v="270"/>
    <s v="2025 Jan"/>
  </r>
  <r>
    <n v="1276"/>
    <x v="14"/>
    <d v="2025-01-17T00:00:00"/>
    <x v="10"/>
    <x v="2"/>
    <x v="271"/>
    <s v="2025 Jan"/>
  </r>
  <r>
    <n v="1277"/>
    <x v="13"/>
    <d v="2025-01-18T00:00:00"/>
    <x v="2"/>
    <x v="4"/>
    <x v="272"/>
    <s v="2025 Jan"/>
  </r>
  <r>
    <n v="1278"/>
    <x v="2"/>
    <d v="2025-01-19T00:00:00"/>
    <x v="2"/>
    <x v="4"/>
    <x v="273"/>
    <s v="2025 Jan"/>
  </r>
  <r>
    <n v="1279"/>
    <x v="8"/>
    <d v="2025-01-20T00:00:00"/>
    <x v="7"/>
    <x v="6"/>
    <x v="274"/>
    <s v="2025 Jan"/>
  </r>
  <r>
    <n v="1280"/>
    <x v="15"/>
    <d v="2025-01-21T00:00:00"/>
    <x v="9"/>
    <x v="4"/>
    <x v="275"/>
    <s v="2025 Jan"/>
  </r>
  <r>
    <n v="1281"/>
    <x v="1"/>
    <d v="2025-01-22T00:00:00"/>
    <x v="9"/>
    <x v="2"/>
    <x v="276"/>
    <s v="2025 Jan"/>
  </r>
  <r>
    <n v="1282"/>
    <x v="8"/>
    <d v="2025-01-23T00:00:00"/>
    <x v="7"/>
    <x v="3"/>
    <x v="277"/>
    <s v="2025 Jan"/>
  </r>
  <r>
    <n v="1283"/>
    <x v="11"/>
    <d v="2025-01-24T00:00:00"/>
    <x v="10"/>
    <x v="8"/>
    <x v="278"/>
    <s v="2025 Jan"/>
  </r>
  <r>
    <n v="1284"/>
    <x v="5"/>
    <d v="2025-01-25T00:00:00"/>
    <x v="0"/>
    <x v="8"/>
    <x v="279"/>
    <s v="2025 Jan"/>
  </r>
  <r>
    <n v="1285"/>
    <x v="0"/>
    <d v="2025-01-26T00:00:00"/>
    <x v="3"/>
    <x v="3"/>
    <x v="280"/>
    <s v="2025 Jan"/>
  </r>
  <r>
    <n v="1286"/>
    <x v="2"/>
    <d v="2025-01-27T00:00:00"/>
    <x v="2"/>
    <x v="0"/>
    <x v="281"/>
    <s v="2025 Jan"/>
  </r>
  <r>
    <n v="1287"/>
    <x v="10"/>
    <d v="2025-01-28T00:00:00"/>
    <x v="11"/>
    <x v="6"/>
    <x v="282"/>
    <s v="2025 Jan"/>
  </r>
  <r>
    <n v="1288"/>
    <x v="13"/>
    <d v="2025-01-29T00:00:00"/>
    <x v="4"/>
    <x v="3"/>
    <x v="283"/>
    <s v="2025 Jan"/>
  </r>
  <r>
    <n v="1289"/>
    <x v="19"/>
    <d v="2025-01-30T00:00:00"/>
    <x v="12"/>
    <x v="8"/>
    <x v="284"/>
    <s v="2025 Jan"/>
  </r>
  <r>
    <n v="1290"/>
    <x v="10"/>
    <d v="2025-01-31T00:00:00"/>
    <x v="6"/>
    <x v="0"/>
    <x v="285"/>
    <s v="2025 Jan"/>
  </r>
  <r>
    <n v="1291"/>
    <x v="8"/>
    <d v="2025-02-01T00:00:00"/>
    <x v="10"/>
    <x v="3"/>
    <x v="286"/>
    <s v="2025 Feb"/>
  </r>
  <r>
    <n v="1292"/>
    <x v="15"/>
    <d v="2025-02-02T00:00:00"/>
    <x v="2"/>
    <x v="6"/>
    <x v="287"/>
    <s v="2025 Feb"/>
  </r>
  <r>
    <n v="1293"/>
    <x v="9"/>
    <d v="2025-02-03T00:00:00"/>
    <x v="7"/>
    <x v="6"/>
    <x v="288"/>
    <s v="2025 Feb"/>
  </r>
  <r>
    <n v="1294"/>
    <x v="10"/>
    <d v="2025-02-04T00:00:00"/>
    <x v="3"/>
    <x v="7"/>
    <x v="289"/>
    <s v="2025 Feb"/>
  </r>
  <r>
    <n v="1295"/>
    <x v="17"/>
    <d v="2025-02-05T00:00:00"/>
    <x v="9"/>
    <x v="3"/>
    <x v="290"/>
    <s v="2025 Feb"/>
  </r>
  <r>
    <n v="1296"/>
    <x v="8"/>
    <d v="2025-02-06T00:00:00"/>
    <x v="5"/>
    <x v="1"/>
    <x v="291"/>
    <s v="2025 Feb"/>
  </r>
  <r>
    <n v="1297"/>
    <x v="6"/>
    <d v="2025-02-07T00:00:00"/>
    <x v="2"/>
    <x v="0"/>
    <x v="143"/>
    <s v="2025 Feb"/>
  </r>
  <r>
    <n v="1298"/>
    <x v="7"/>
    <d v="2025-02-08T00:00:00"/>
    <x v="2"/>
    <x v="2"/>
    <x v="292"/>
    <s v="2025 Feb"/>
  </r>
  <r>
    <n v="1299"/>
    <x v="19"/>
    <d v="2025-02-09T00:00:00"/>
    <x v="6"/>
    <x v="3"/>
    <x v="293"/>
    <s v="2025 Feb"/>
  </r>
  <r>
    <n v="1300"/>
    <x v="0"/>
    <d v="2025-02-10T00:00:00"/>
    <x v="7"/>
    <x v="7"/>
    <x v="294"/>
    <s v="2025 Feb"/>
  </r>
  <r>
    <n v="1301"/>
    <x v="16"/>
    <d v="2025-02-11T00:00:00"/>
    <x v="10"/>
    <x v="0"/>
    <x v="295"/>
    <s v="2025 Feb"/>
  </r>
  <r>
    <n v="1302"/>
    <x v="12"/>
    <d v="2025-02-12T00:00:00"/>
    <x v="5"/>
    <x v="10"/>
    <x v="296"/>
    <s v="2025 Feb"/>
  </r>
  <r>
    <n v="1303"/>
    <x v="8"/>
    <d v="2025-02-13T00:00:00"/>
    <x v="3"/>
    <x v="9"/>
    <x v="297"/>
    <s v="2025 Feb"/>
  </r>
  <r>
    <n v="1304"/>
    <x v="14"/>
    <d v="2025-02-14T00:00:00"/>
    <x v="10"/>
    <x v="6"/>
    <x v="298"/>
    <s v="2025 Feb"/>
  </r>
  <r>
    <n v="1305"/>
    <x v="1"/>
    <d v="2025-02-15T00:00:00"/>
    <x v="10"/>
    <x v="0"/>
    <x v="299"/>
    <s v="2025 Feb"/>
  </r>
  <r>
    <n v="1306"/>
    <x v="1"/>
    <d v="2025-02-16T00:00:00"/>
    <x v="4"/>
    <x v="3"/>
    <x v="300"/>
    <s v="2025 Feb"/>
  </r>
  <r>
    <n v="1307"/>
    <x v="17"/>
    <d v="2025-02-17T00:00:00"/>
    <x v="3"/>
    <x v="10"/>
    <x v="301"/>
    <s v="2025 Feb"/>
  </r>
  <r>
    <n v="1308"/>
    <x v="11"/>
    <d v="2025-02-18T00:00:00"/>
    <x v="10"/>
    <x v="10"/>
    <x v="302"/>
    <s v="2025 Feb"/>
  </r>
  <r>
    <n v="1309"/>
    <x v="11"/>
    <d v="2025-02-19T00:00:00"/>
    <x v="0"/>
    <x v="5"/>
    <x v="303"/>
    <s v="2025 Feb"/>
  </r>
  <r>
    <n v="1310"/>
    <x v="4"/>
    <d v="2025-02-20T00:00:00"/>
    <x v="7"/>
    <x v="10"/>
    <x v="304"/>
    <s v="2025 Feb"/>
  </r>
  <r>
    <n v="1311"/>
    <x v="13"/>
    <d v="2025-02-21T00:00:00"/>
    <x v="6"/>
    <x v="3"/>
    <x v="305"/>
    <s v="2025 Feb"/>
  </r>
  <r>
    <n v="1312"/>
    <x v="16"/>
    <d v="2025-02-22T00:00:00"/>
    <x v="5"/>
    <x v="10"/>
    <x v="306"/>
    <s v="2025 Feb"/>
  </r>
  <r>
    <n v="1313"/>
    <x v="16"/>
    <d v="2025-02-23T00:00:00"/>
    <x v="10"/>
    <x v="0"/>
    <x v="307"/>
    <s v="2025 Feb"/>
  </r>
  <r>
    <n v="1314"/>
    <x v="7"/>
    <d v="2025-02-24T00:00:00"/>
    <x v="0"/>
    <x v="3"/>
    <x v="308"/>
    <s v="2025 Feb"/>
  </r>
  <r>
    <n v="1315"/>
    <x v="13"/>
    <d v="2025-02-25T00:00:00"/>
    <x v="3"/>
    <x v="4"/>
    <x v="309"/>
    <s v="2025 Feb"/>
  </r>
  <r>
    <n v="1316"/>
    <x v="15"/>
    <d v="2025-02-26T00:00:00"/>
    <x v="0"/>
    <x v="3"/>
    <x v="310"/>
    <s v="2025 Feb"/>
  </r>
  <r>
    <n v="1317"/>
    <x v="0"/>
    <d v="2025-02-27T00:00:00"/>
    <x v="1"/>
    <x v="3"/>
    <x v="311"/>
    <s v="2025 Feb"/>
  </r>
  <r>
    <n v="1318"/>
    <x v="3"/>
    <d v="2025-02-28T00:00:00"/>
    <x v="0"/>
    <x v="1"/>
    <x v="312"/>
    <s v="2025 Feb"/>
  </r>
  <r>
    <n v="1319"/>
    <x v="11"/>
    <d v="2025-03-01T00:00:00"/>
    <x v="6"/>
    <x v="1"/>
    <x v="313"/>
    <s v="2025 Mar"/>
  </r>
  <r>
    <n v="1320"/>
    <x v="9"/>
    <d v="2025-03-02T00:00:00"/>
    <x v="4"/>
    <x v="10"/>
    <x v="314"/>
    <s v="2025 Mar"/>
  </r>
  <r>
    <n v="1321"/>
    <x v="4"/>
    <d v="2025-03-03T00:00:00"/>
    <x v="3"/>
    <x v="1"/>
    <x v="315"/>
    <s v="2025 Mar"/>
  </r>
  <r>
    <n v="1322"/>
    <x v="4"/>
    <d v="2025-03-04T00:00:00"/>
    <x v="9"/>
    <x v="0"/>
    <x v="316"/>
    <s v="2025 Mar"/>
  </r>
  <r>
    <n v="1323"/>
    <x v="13"/>
    <d v="2025-03-05T00:00:00"/>
    <x v="6"/>
    <x v="0"/>
    <x v="317"/>
    <s v="2025 Mar"/>
  </r>
  <r>
    <n v="1324"/>
    <x v="11"/>
    <d v="2025-03-06T00:00:00"/>
    <x v="8"/>
    <x v="6"/>
    <x v="318"/>
    <s v="2025 Mar"/>
  </r>
  <r>
    <n v="1325"/>
    <x v="2"/>
    <d v="2025-03-07T00:00:00"/>
    <x v="7"/>
    <x v="10"/>
    <x v="319"/>
    <s v="2025 Mar"/>
  </r>
  <r>
    <n v="1326"/>
    <x v="19"/>
    <d v="2025-03-08T00:00:00"/>
    <x v="0"/>
    <x v="4"/>
    <x v="320"/>
    <s v="2025 Mar"/>
  </r>
  <r>
    <n v="1327"/>
    <x v="14"/>
    <d v="2025-03-09T00:00:00"/>
    <x v="7"/>
    <x v="4"/>
    <x v="321"/>
    <s v="2025 Mar"/>
  </r>
  <r>
    <n v="1328"/>
    <x v="16"/>
    <d v="2025-03-10T00:00:00"/>
    <x v="0"/>
    <x v="3"/>
    <x v="322"/>
    <s v="2025 Mar"/>
  </r>
  <r>
    <n v="1329"/>
    <x v="12"/>
    <d v="2025-03-11T00:00:00"/>
    <x v="5"/>
    <x v="7"/>
    <x v="323"/>
    <s v="2025 Mar"/>
  </r>
  <r>
    <n v="1330"/>
    <x v="19"/>
    <d v="2025-03-12T00:00:00"/>
    <x v="5"/>
    <x v="0"/>
    <x v="324"/>
    <s v="2025 Mar"/>
  </r>
  <r>
    <n v="1331"/>
    <x v="8"/>
    <d v="2025-03-13T00:00:00"/>
    <x v="10"/>
    <x v="10"/>
    <x v="325"/>
    <s v="2025 Mar"/>
  </r>
  <r>
    <n v="1332"/>
    <x v="6"/>
    <d v="2025-03-14T00:00:00"/>
    <x v="8"/>
    <x v="7"/>
    <x v="326"/>
    <s v="2025 Mar"/>
  </r>
  <r>
    <n v="1333"/>
    <x v="11"/>
    <d v="2025-03-15T00:00:00"/>
    <x v="11"/>
    <x v="9"/>
    <x v="327"/>
    <s v="2025 Mar"/>
  </r>
  <r>
    <n v="1334"/>
    <x v="18"/>
    <d v="2025-03-16T00:00:00"/>
    <x v="5"/>
    <x v="0"/>
    <x v="328"/>
    <s v="2025 Mar"/>
  </r>
  <r>
    <n v="1335"/>
    <x v="17"/>
    <d v="2025-03-17T00:00:00"/>
    <x v="3"/>
    <x v="5"/>
    <x v="329"/>
    <s v="2025 Mar"/>
  </r>
  <r>
    <n v="1336"/>
    <x v="11"/>
    <d v="2025-03-18T00:00:00"/>
    <x v="9"/>
    <x v="5"/>
    <x v="330"/>
    <s v="2025 Mar"/>
  </r>
  <r>
    <n v="1337"/>
    <x v="18"/>
    <d v="2025-03-19T00:00:00"/>
    <x v="5"/>
    <x v="6"/>
    <x v="331"/>
    <s v="2025 Mar"/>
  </r>
  <r>
    <n v="1338"/>
    <x v="7"/>
    <d v="2025-03-20T00:00:00"/>
    <x v="2"/>
    <x v="10"/>
    <x v="332"/>
    <s v="2025 Mar"/>
  </r>
  <r>
    <n v="1339"/>
    <x v="11"/>
    <d v="2025-03-21T00:00:00"/>
    <x v="1"/>
    <x v="7"/>
    <x v="333"/>
    <s v="2025 Mar"/>
  </r>
  <r>
    <n v="1340"/>
    <x v="16"/>
    <d v="2025-03-22T00:00:00"/>
    <x v="8"/>
    <x v="10"/>
    <x v="334"/>
    <s v="2025 Mar"/>
  </r>
  <r>
    <n v="1341"/>
    <x v="16"/>
    <d v="2025-03-23T00:00:00"/>
    <x v="7"/>
    <x v="0"/>
    <x v="335"/>
    <s v="2025 Mar"/>
  </r>
  <r>
    <n v="1342"/>
    <x v="7"/>
    <d v="2025-03-24T00:00:00"/>
    <x v="11"/>
    <x v="1"/>
    <x v="336"/>
    <s v="2025 Mar"/>
  </r>
  <r>
    <n v="1343"/>
    <x v="4"/>
    <d v="2025-03-25T00:00:00"/>
    <x v="11"/>
    <x v="0"/>
    <x v="337"/>
    <s v="2025 Mar"/>
  </r>
  <r>
    <n v="1344"/>
    <x v="1"/>
    <d v="2025-03-26T00:00:00"/>
    <x v="10"/>
    <x v="6"/>
    <x v="338"/>
    <s v="2025 Mar"/>
  </r>
  <r>
    <n v="1345"/>
    <x v="14"/>
    <d v="2025-03-27T00:00:00"/>
    <x v="5"/>
    <x v="10"/>
    <x v="339"/>
    <s v="2025 Mar"/>
  </r>
  <r>
    <n v="1346"/>
    <x v="3"/>
    <d v="2025-03-28T00:00:00"/>
    <x v="11"/>
    <x v="0"/>
    <x v="340"/>
    <s v="2025 Mar"/>
  </r>
  <r>
    <n v="1347"/>
    <x v="5"/>
    <d v="2025-03-29T00:00:00"/>
    <x v="6"/>
    <x v="1"/>
    <x v="341"/>
    <s v="2025 Mar"/>
  </r>
  <r>
    <n v="1348"/>
    <x v="15"/>
    <d v="2025-03-30T00:00:00"/>
    <x v="9"/>
    <x v="5"/>
    <x v="342"/>
    <s v="2025 Mar"/>
  </r>
  <r>
    <n v="1349"/>
    <x v="11"/>
    <d v="2025-03-31T00:00:00"/>
    <x v="7"/>
    <x v="0"/>
    <x v="343"/>
    <s v="2025 Mar"/>
  </r>
  <r>
    <n v="1350"/>
    <x v="12"/>
    <d v="2025-04-01T00:00:00"/>
    <x v="9"/>
    <x v="9"/>
    <x v="344"/>
    <s v="2025 Apr"/>
  </r>
  <r>
    <n v="1351"/>
    <x v="10"/>
    <d v="2025-04-02T00:00:00"/>
    <x v="3"/>
    <x v="1"/>
    <x v="345"/>
    <s v="2025 Apr"/>
  </r>
  <r>
    <n v="1352"/>
    <x v="5"/>
    <d v="2025-04-03T00:00:00"/>
    <x v="0"/>
    <x v="6"/>
    <x v="346"/>
    <s v="2025 Apr"/>
  </r>
  <r>
    <n v="1353"/>
    <x v="1"/>
    <d v="2025-04-04T00:00:00"/>
    <x v="9"/>
    <x v="6"/>
    <x v="347"/>
    <s v="2025 Apr"/>
  </r>
  <r>
    <n v="1354"/>
    <x v="5"/>
    <d v="2025-04-05T00:00:00"/>
    <x v="2"/>
    <x v="6"/>
    <x v="348"/>
    <s v="2025 Apr"/>
  </r>
  <r>
    <n v="1355"/>
    <x v="10"/>
    <d v="2025-04-06T00:00:00"/>
    <x v="8"/>
    <x v="0"/>
    <x v="349"/>
    <s v="2025 Apr"/>
  </r>
  <r>
    <n v="1356"/>
    <x v="8"/>
    <d v="2025-04-07T00:00:00"/>
    <x v="10"/>
    <x v="1"/>
    <x v="350"/>
    <s v="2025 Apr"/>
  </r>
  <r>
    <n v="1357"/>
    <x v="8"/>
    <d v="2025-04-08T00:00:00"/>
    <x v="10"/>
    <x v="9"/>
    <x v="351"/>
    <s v="2025 Apr"/>
  </r>
  <r>
    <n v="1358"/>
    <x v="14"/>
    <d v="2025-04-09T00:00:00"/>
    <x v="11"/>
    <x v="5"/>
    <x v="352"/>
    <s v="2025 Apr"/>
  </r>
  <r>
    <n v="1359"/>
    <x v="7"/>
    <d v="2025-04-10T00:00:00"/>
    <x v="2"/>
    <x v="1"/>
    <x v="353"/>
    <s v="2025 Apr"/>
  </r>
  <r>
    <n v="1360"/>
    <x v="9"/>
    <d v="2025-04-11T00:00:00"/>
    <x v="10"/>
    <x v="1"/>
    <x v="354"/>
    <s v="2025 Apr"/>
  </r>
  <r>
    <n v="1361"/>
    <x v="15"/>
    <d v="2025-04-12T00:00:00"/>
    <x v="9"/>
    <x v="6"/>
    <x v="355"/>
    <s v="2025 Apr"/>
  </r>
  <r>
    <n v="1362"/>
    <x v="15"/>
    <d v="2025-04-13T00:00:00"/>
    <x v="2"/>
    <x v="0"/>
    <x v="356"/>
    <s v="2025 Apr"/>
  </r>
  <r>
    <n v="1363"/>
    <x v="9"/>
    <d v="2025-04-14T00:00:00"/>
    <x v="5"/>
    <x v="4"/>
    <x v="357"/>
    <s v="2025 Apr"/>
  </r>
  <r>
    <n v="1364"/>
    <x v="6"/>
    <d v="2025-04-15T00:00:00"/>
    <x v="2"/>
    <x v="3"/>
    <x v="358"/>
    <s v="2025 Apr"/>
  </r>
  <r>
    <n v="1365"/>
    <x v="8"/>
    <d v="2025-04-16T00:00:00"/>
    <x v="7"/>
    <x v="1"/>
    <x v="359"/>
    <s v="2025 Apr"/>
  </r>
  <r>
    <n v="1366"/>
    <x v="8"/>
    <d v="2025-04-17T00:00:00"/>
    <x v="5"/>
    <x v="7"/>
    <x v="360"/>
    <s v="2025 Apr"/>
  </r>
  <r>
    <n v="1367"/>
    <x v="2"/>
    <d v="2025-04-18T00:00:00"/>
    <x v="2"/>
    <x v="2"/>
    <x v="361"/>
    <s v="2025 Apr"/>
  </r>
  <r>
    <n v="1368"/>
    <x v="0"/>
    <d v="2025-04-19T00:00:00"/>
    <x v="3"/>
    <x v="5"/>
    <x v="362"/>
    <s v="2025 Apr"/>
  </r>
  <r>
    <n v="1369"/>
    <x v="16"/>
    <d v="2025-04-20T00:00:00"/>
    <x v="7"/>
    <x v="6"/>
    <x v="363"/>
    <s v="2025 Apr"/>
  </r>
  <r>
    <n v="1370"/>
    <x v="13"/>
    <d v="2025-04-21T00:00:00"/>
    <x v="11"/>
    <x v="6"/>
    <x v="364"/>
    <s v="2025 Apr"/>
  </r>
  <r>
    <n v="1371"/>
    <x v="11"/>
    <d v="2025-04-22T00:00:00"/>
    <x v="9"/>
    <x v="1"/>
    <x v="365"/>
    <s v="2025 Apr"/>
  </r>
  <r>
    <n v="1372"/>
    <x v="14"/>
    <d v="2025-04-23T00:00:00"/>
    <x v="10"/>
    <x v="4"/>
    <x v="366"/>
    <s v="2025 Apr"/>
  </r>
  <r>
    <n v="1373"/>
    <x v="19"/>
    <d v="2025-04-24T00:00:00"/>
    <x v="4"/>
    <x v="1"/>
    <x v="367"/>
    <s v="2025 Apr"/>
  </r>
  <r>
    <n v="1374"/>
    <x v="0"/>
    <d v="2025-04-25T00:00:00"/>
    <x v="9"/>
    <x v="10"/>
    <x v="368"/>
    <s v="2025 Apr"/>
  </r>
  <r>
    <n v="1375"/>
    <x v="11"/>
    <d v="2025-04-26T00:00:00"/>
    <x v="6"/>
    <x v="10"/>
    <x v="369"/>
    <s v="2025 Apr"/>
  </r>
  <r>
    <n v="1376"/>
    <x v="11"/>
    <d v="2025-04-27T00:00:00"/>
    <x v="10"/>
    <x v="10"/>
    <x v="370"/>
    <s v="2025 Apr"/>
  </r>
  <r>
    <n v="1377"/>
    <x v="13"/>
    <d v="2025-04-28T00:00:00"/>
    <x v="11"/>
    <x v="3"/>
    <x v="371"/>
    <s v="2025 Apr"/>
  </r>
  <r>
    <n v="1378"/>
    <x v="17"/>
    <d v="2025-04-29T00:00:00"/>
    <x v="2"/>
    <x v="0"/>
    <x v="372"/>
    <s v="2025 Apr"/>
  </r>
  <r>
    <n v="1379"/>
    <x v="0"/>
    <d v="2025-04-30T00:00:00"/>
    <x v="0"/>
    <x v="9"/>
    <x v="373"/>
    <s v="2025 Apr"/>
  </r>
  <r>
    <n v="1380"/>
    <x v="1"/>
    <d v="2025-05-01T00:00:00"/>
    <x v="6"/>
    <x v="4"/>
    <x v="374"/>
    <s v="2025 May"/>
  </r>
  <r>
    <n v="1381"/>
    <x v="14"/>
    <d v="2025-05-02T00:00:00"/>
    <x v="4"/>
    <x v="6"/>
    <x v="375"/>
    <s v="2025 May"/>
  </r>
  <r>
    <n v="1382"/>
    <x v="16"/>
    <d v="2025-05-03T00:00:00"/>
    <x v="3"/>
    <x v="0"/>
    <x v="376"/>
    <s v="2025 May"/>
  </r>
  <r>
    <n v="1383"/>
    <x v="1"/>
    <d v="2025-05-04T00:00:00"/>
    <x v="5"/>
    <x v="1"/>
    <x v="377"/>
    <s v="2025 May"/>
  </r>
  <r>
    <n v="1384"/>
    <x v="12"/>
    <d v="2025-05-05T00:00:00"/>
    <x v="8"/>
    <x v="10"/>
    <x v="378"/>
    <s v="2025 May"/>
  </r>
  <r>
    <n v="1385"/>
    <x v="13"/>
    <d v="2025-05-06T00:00:00"/>
    <x v="7"/>
    <x v="7"/>
    <x v="379"/>
    <s v="2025 May"/>
  </r>
  <r>
    <n v="1386"/>
    <x v="17"/>
    <d v="2025-05-07T00:00:00"/>
    <x v="0"/>
    <x v="2"/>
    <x v="380"/>
    <s v="2025 May"/>
  </r>
  <r>
    <n v="1387"/>
    <x v="7"/>
    <d v="2025-05-08T00:00:00"/>
    <x v="2"/>
    <x v="6"/>
    <x v="381"/>
    <s v="2025 May"/>
  </r>
  <r>
    <n v="1388"/>
    <x v="5"/>
    <d v="2025-05-09T00:00:00"/>
    <x v="4"/>
    <x v="7"/>
    <x v="382"/>
    <s v="2025 May"/>
  </r>
  <r>
    <n v="1389"/>
    <x v="19"/>
    <d v="2025-05-10T00:00:00"/>
    <x v="6"/>
    <x v="3"/>
    <x v="383"/>
    <s v="2025 May"/>
  </r>
  <r>
    <n v="1390"/>
    <x v="18"/>
    <d v="2025-05-11T00:00:00"/>
    <x v="9"/>
    <x v="3"/>
    <x v="384"/>
    <s v="2025 May"/>
  </r>
  <r>
    <n v="1391"/>
    <x v="14"/>
    <d v="2025-05-12T00:00:00"/>
    <x v="7"/>
    <x v="2"/>
    <x v="385"/>
    <s v="2025 May"/>
  </r>
  <r>
    <n v="1392"/>
    <x v="3"/>
    <d v="2025-05-13T00:00:00"/>
    <x v="9"/>
    <x v="6"/>
    <x v="386"/>
    <s v="2025 May"/>
  </r>
  <r>
    <n v="1393"/>
    <x v="7"/>
    <d v="2025-05-14T00:00:00"/>
    <x v="8"/>
    <x v="4"/>
    <x v="387"/>
    <s v="2025 May"/>
  </r>
  <r>
    <n v="1394"/>
    <x v="18"/>
    <d v="2025-05-15T00:00:00"/>
    <x v="2"/>
    <x v="0"/>
    <x v="388"/>
    <s v="2025 May"/>
  </r>
  <r>
    <n v="1395"/>
    <x v="8"/>
    <d v="2025-05-16T00:00:00"/>
    <x v="2"/>
    <x v="5"/>
    <x v="389"/>
    <s v="2025 May"/>
  </r>
  <r>
    <n v="1396"/>
    <x v="10"/>
    <d v="2025-05-17T00:00:00"/>
    <x v="7"/>
    <x v="6"/>
    <x v="390"/>
    <s v="2025 May"/>
  </r>
  <r>
    <n v="1397"/>
    <x v="4"/>
    <d v="2025-05-18T00:00:00"/>
    <x v="8"/>
    <x v="2"/>
    <x v="391"/>
    <s v="2025 May"/>
  </r>
  <r>
    <n v="1398"/>
    <x v="11"/>
    <d v="2025-05-19T00:00:00"/>
    <x v="4"/>
    <x v="5"/>
    <x v="392"/>
    <s v="2025 May"/>
  </r>
  <r>
    <n v="1399"/>
    <x v="19"/>
    <d v="2025-05-20T00:00:00"/>
    <x v="9"/>
    <x v="0"/>
    <x v="393"/>
    <s v="2025 May"/>
  </r>
  <r>
    <n v="1400"/>
    <x v="18"/>
    <d v="2025-05-21T00:00:00"/>
    <x v="0"/>
    <x v="3"/>
    <x v="394"/>
    <s v="2025 May"/>
  </r>
  <r>
    <n v="1401"/>
    <x v="3"/>
    <d v="2025-05-22T00:00:00"/>
    <x v="3"/>
    <x v="3"/>
    <x v="395"/>
    <s v="2025 May"/>
  </r>
  <r>
    <n v="1402"/>
    <x v="3"/>
    <d v="2025-05-23T00:00:00"/>
    <x v="11"/>
    <x v="6"/>
    <x v="396"/>
    <s v="2025 May"/>
  </r>
  <r>
    <n v="1403"/>
    <x v="2"/>
    <d v="2025-05-24T00:00:00"/>
    <x v="9"/>
    <x v="10"/>
    <x v="397"/>
    <s v="2025 May"/>
  </r>
  <r>
    <n v="1404"/>
    <x v="7"/>
    <d v="2025-05-25T00:00:00"/>
    <x v="11"/>
    <x v="4"/>
    <x v="398"/>
    <s v="2025 May"/>
  </r>
  <r>
    <n v="1405"/>
    <x v="9"/>
    <d v="2025-05-26T00:00:00"/>
    <x v="10"/>
    <x v="10"/>
    <x v="399"/>
    <s v="2025 May"/>
  </r>
  <r>
    <n v="1406"/>
    <x v="8"/>
    <d v="2025-05-27T00:00:00"/>
    <x v="8"/>
    <x v="2"/>
    <x v="400"/>
    <s v="2025 May"/>
  </r>
  <r>
    <n v="1407"/>
    <x v="17"/>
    <d v="2025-05-28T00:00:00"/>
    <x v="1"/>
    <x v="4"/>
    <x v="401"/>
    <s v="2025 May"/>
  </r>
  <r>
    <n v="1408"/>
    <x v="3"/>
    <d v="2025-05-29T00:00:00"/>
    <x v="4"/>
    <x v="1"/>
    <x v="402"/>
    <s v="2025 May"/>
  </r>
  <r>
    <n v="1409"/>
    <x v="1"/>
    <d v="2025-05-30T00:00:00"/>
    <x v="5"/>
    <x v="2"/>
    <x v="403"/>
    <s v="2025 May"/>
  </r>
  <r>
    <n v="1410"/>
    <x v="8"/>
    <d v="2025-05-31T00:00:00"/>
    <x v="7"/>
    <x v="3"/>
    <x v="404"/>
    <s v="2025 May"/>
  </r>
  <r>
    <n v="1411"/>
    <x v="15"/>
    <d v="2025-06-01T00:00:00"/>
    <x v="7"/>
    <x v="10"/>
    <x v="405"/>
    <s v="2025 Jun"/>
  </r>
  <r>
    <n v="1412"/>
    <x v="3"/>
    <d v="2025-06-02T00:00:00"/>
    <x v="7"/>
    <x v="6"/>
    <x v="406"/>
    <s v="2025 Jun"/>
  </r>
  <r>
    <n v="1413"/>
    <x v="14"/>
    <d v="2025-06-03T00:00:00"/>
    <x v="9"/>
    <x v="3"/>
    <x v="407"/>
    <s v="2025 Jun"/>
  </r>
  <r>
    <n v="1414"/>
    <x v="16"/>
    <d v="2025-06-04T00:00:00"/>
    <x v="9"/>
    <x v="9"/>
    <x v="408"/>
    <s v="2025 Jun"/>
  </r>
  <r>
    <n v="1415"/>
    <x v="1"/>
    <d v="2025-06-05T00:00:00"/>
    <x v="5"/>
    <x v="0"/>
    <x v="409"/>
    <s v="2025 Jun"/>
  </r>
  <r>
    <n v="1416"/>
    <x v="8"/>
    <d v="2025-06-06T00:00:00"/>
    <x v="6"/>
    <x v="0"/>
    <x v="410"/>
    <s v="2025 Jun"/>
  </r>
  <r>
    <n v="1417"/>
    <x v="16"/>
    <d v="2025-06-07T00:00:00"/>
    <x v="0"/>
    <x v="6"/>
    <x v="411"/>
    <s v="2025 Jun"/>
  </r>
  <r>
    <n v="1418"/>
    <x v="6"/>
    <d v="2025-06-08T00:00:00"/>
    <x v="3"/>
    <x v="1"/>
    <x v="412"/>
    <s v="2025 Jun"/>
  </r>
  <r>
    <n v="1419"/>
    <x v="3"/>
    <d v="2025-06-09T00:00:00"/>
    <x v="5"/>
    <x v="1"/>
    <x v="413"/>
    <s v="2025 Jun"/>
  </r>
  <r>
    <n v="1420"/>
    <x v="5"/>
    <d v="2025-06-10T00:00:00"/>
    <x v="4"/>
    <x v="2"/>
    <x v="414"/>
    <s v="2025 Jun"/>
  </r>
  <r>
    <n v="1421"/>
    <x v="15"/>
    <d v="2025-06-11T00:00:00"/>
    <x v="1"/>
    <x v="7"/>
    <x v="415"/>
    <s v="2025 Jun"/>
  </r>
  <r>
    <n v="1422"/>
    <x v="16"/>
    <d v="2025-06-12T00:00:00"/>
    <x v="11"/>
    <x v="5"/>
    <x v="416"/>
    <s v="2025 Jun"/>
  </r>
  <r>
    <n v="1423"/>
    <x v="13"/>
    <d v="2025-06-13T00:00:00"/>
    <x v="5"/>
    <x v="3"/>
    <x v="417"/>
    <s v="2025 Jun"/>
  </r>
  <r>
    <n v="1424"/>
    <x v="6"/>
    <d v="2025-06-14T00:00:00"/>
    <x v="5"/>
    <x v="3"/>
    <x v="418"/>
    <s v="2025 Jun"/>
  </r>
  <r>
    <n v="1425"/>
    <x v="10"/>
    <d v="2025-06-15T00:00:00"/>
    <x v="11"/>
    <x v="7"/>
    <x v="419"/>
    <s v="2025 Jun"/>
  </r>
  <r>
    <n v="1426"/>
    <x v="15"/>
    <d v="2025-06-16T00:00:00"/>
    <x v="10"/>
    <x v="2"/>
    <x v="420"/>
    <s v="2025 Jun"/>
  </r>
  <r>
    <n v="1427"/>
    <x v="2"/>
    <d v="2025-06-17T00:00:00"/>
    <x v="1"/>
    <x v="5"/>
    <x v="421"/>
    <s v="2025 Jun"/>
  </r>
  <r>
    <n v="1428"/>
    <x v="15"/>
    <d v="2025-06-18T00:00:00"/>
    <x v="2"/>
    <x v="2"/>
    <x v="422"/>
    <s v="2025 Jun"/>
  </r>
  <r>
    <n v="1429"/>
    <x v="9"/>
    <d v="2025-06-19T00:00:00"/>
    <x v="0"/>
    <x v="1"/>
    <x v="423"/>
    <s v="2025 Jun"/>
  </r>
  <r>
    <n v="1430"/>
    <x v="11"/>
    <d v="2025-06-20T00:00:00"/>
    <x v="4"/>
    <x v="10"/>
    <x v="424"/>
    <s v="2025 Jun"/>
  </r>
  <r>
    <n v="1431"/>
    <x v="4"/>
    <d v="2025-06-21T00:00:00"/>
    <x v="2"/>
    <x v="10"/>
    <x v="425"/>
    <s v="2025 Jun"/>
  </r>
  <r>
    <n v="1432"/>
    <x v="18"/>
    <d v="2025-06-22T00:00:00"/>
    <x v="3"/>
    <x v="4"/>
    <x v="426"/>
    <s v="2025 Jun"/>
  </r>
  <r>
    <n v="1433"/>
    <x v="1"/>
    <d v="2025-06-23T00:00:00"/>
    <x v="10"/>
    <x v="10"/>
    <x v="427"/>
    <s v="2025 Jun"/>
  </r>
  <r>
    <n v="1434"/>
    <x v="3"/>
    <d v="2025-06-24T00:00:00"/>
    <x v="8"/>
    <x v="1"/>
    <x v="428"/>
    <s v="2025 Jun"/>
  </r>
  <r>
    <n v="1435"/>
    <x v="19"/>
    <d v="2025-06-25T00:00:00"/>
    <x v="10"/>
    <x v="4"/>
    <x v="429"/>
    <s v="2025 Jun"/>
  </r>
  <r>
    <n v="1436"/>
    <x v="9"/>
    <d v="2025-06-26T00:00:00"/>
    <x v="6"/>
    <x v="4"/>
    <x v="430"/>
    <s v="2025 Jun"/>
  </r>
  <r>
    <n v="1437"/>
    <x v="17"/>
    <d v="2025-06-27T00:00:00"/>
    <x v="9"/>
    <x v="6"/>
    <x v="431"/>
    <s v="2025 Jun"/>
  </r>
  <r>
    <n v="1438"/>
    <x v="12"/>
    <d v="2025-06-28T00:00:00"/>
    <x v="4"/>
    <x v="0"/>
    <x v="432"/>
    <s v="2025 Jun"/>
  </r>
  <r>
    <n v="1439"/>
    <x v="7"/>
    <d v="2025-06-29T00:00:00"/>
    <x v="11"/>
    <x v="6"/>
    <x v="433"/>
    <s v="2025 Jun"/>
  </r>
  <r>
    <n v="1440"/>
    <x v="4"/>
    <d v="2025-06-30T00:00:00"/>
    <x v="4"/>
    <x v="1"/>
    <x v="434"/>
    <s v="2025 Jun"/>
  </r>
  <r>
    <n v="1441"/>
    <x v="8"/>
    <d v="2025-07-01T00:00:00"/>
    <x v="11"/>
    <x v="7"/>
    <x v="435"/>
    <s v="2025 Jul"/>
  </r>
  <r>
    <n v="1442"/>
    <x v="9"/>
    <d v="2025-07-02T00:00:00"/>
    <x v="11"/>
    <x v="10"/>
    <x v="436"/>
    <s v="2025 Jul"/>
  </r>
  <r>
    <n v="1443"/>
    <x v="16"/>
    <d v="2025-07-03T00:00:00"/>
    <x v="0"/>
    <x v="0"/>
    <x v="437"/>
    <s v="2025 Jul"/>
  </r>
  <r>
    <n v="1444"/>
    <x v="7"/>
    <d v="2025-07-04T00:00:00"/>
    <x v="0"/>
    <x v="7"/>
    <x v="438"/>
    <s v="2025 Jul"/>
  </r>
  <r>
    <n v="1445"/>
    <x v="8"/>
    <d v="2025-07-05T00:00:00"/>
    <x v="4"/>
    <x v="3"/>
    <x v="439"/>
    <s v="2025 Jul"/>
  </r>
  <r>
    <n v="1446"/>
    <x v="7"/>
    <d v="2025-07-06T00:00:00"/>
    <x v="8"/>
    <x v="0"/>
    <x v="440"/>
    <s v="2025 Jul"/>
  </r>
  <r>
    <n v="1447"/>
    <x v="7"/>
    <d v="2025-07-07T00:00:00"/>
    <x v="2"/>
    <x v="1"/>
    <x v="441"/>
    <s v="2025 Jul"/>
  </r>
  <r>
    <n v="1448"/>
    <x v="13"/>
    <d v="2025-07-08T00:00:00"/>
    <x v="6"/>
    <x v="9"/>
    <x v="442"/>
    <s v="2025 Jul"/>
  </r>
  <r>
    <n v="1449"/>
    <x v="0"/>
    <d v="2025-07-09T00:00:00"/>
    <x v="6"/>
    <x v="0"/>
    <x v="443"/>
    <s v="2025 Jul"/>
  </r>
  <r>
    <n v="1450"/>
    <x v="12"/>
    <d v="2025-07-10T00:00:00"/>
    <x v="11"/>
    <x v="7"/>
    <x v="444"/>
    <s v="2025 Jul"/>
  </r>
  <r>
    <n v="1451"/>
    <x v="9"/>
    <d v="2025-07-11T00:00:00"/>
    <x v="11"/>
    <x v="3"/>
    <x v="445"/>
    <s v="2025 Jul"/>
  </r>
  <r>
    <n v="1452"/>
    <x v="4"/>
    <d v="2025-07-12T00:00:00"/>
    <x v="3"/>
    <x v="6"/>
    <x v="446"/>
    <s v="2025 Jul"/>
  </r>
  <r>
    <n v="1453"/>
    <x v="5"/>
    <d v="2025-07-13T00:00:00"/>
    <x v="10"/>
    <x v="9"/>
    <x v="447"/>
    <s v="2025 Jul"/>
  </r>
  <r>
    <n v="1454"/>
    <x v="17"/>
    <d v="2025-07-14T00:00:00"/>
    <x v="6"/>
    <x v="4"/>
    <x v="448"/>
    <s v="2025 Jul"/>
  </r>
  <r>
    <n v="1455"/>
    <x v="6"/>
    <d v="2025-07-15T00:00:00"/>
    <x v="7"/>
    <x v="6"/>
    <x v="449"/>
    <s v="2025 Jul"/>
  </r>
  <r>
    <n v="1456"/>
    <x v="8"/>
    <d v="2025-07-16T00:00:00"/>
    <x v="10"/>
    <x v="7"/>
    <x v="450"/>
    <s v="2025 Jul"/>
  </r>
  <r>
    <n v="1457"/>
    <x v="13"/>
    <d v="2025-07-17T00:00:00"/>
    <x v="1"/>
    <x v="6"/>
    <x v="451"/>
    <s v="2025 Jul"/>
  </r>
  <r>
    <n v="1458"/>
    <x v="8"/>
    <d v="2025-07-18T00:00:00"/>
    <x v="5"/>
    <x v="3"/>
    <x v="452"/>
    <s v="2025 Jul"/>
  </r>
  <r>
    <n v="1459"/>
    <x v="9"/>
    <d v="2025-07-19T00:00:00"/>
    <x v="8"/>
    <x v="5"/>
    <x v="453"/>
    <s v="2025 Jul"/>
  </r>
  <r>
    <n v="1460"/>
    <x v="12"/>
    <d v="2025-07-20T00:00:00"/>
    <x v="0"/>
    <x v="1"/>
    <x v="454"/>
    <s v="2025 Jul"/>
  </r>
  <r>
    <n v="1461"/>
    <x v="16"/>
    <d v="2025-07-21T00:00:00"/>
    <x v="8"/>
    <x v="3"/>
    <x v="455"/>
    <s v="2025 Jul"/>
  </r>
  <r>
    <n v="1462"/>
    <x v="0"/>
    <d v="2025-07-22T00:00:00"/>
    <x v="6"/>
    <x v="4"/>
    <x v="456"/>
    <s v="2025 Jul"/>
  </r>
  <r>
    <n v="1463"/>
    <x v="19"/>
    <d v="2025-07-23T00:00:00"/>
    <x v="10"/>
    <x v="1"/>
    <x v="457"/>
    <s v="2025 Jul"/>
  </r>
  <r>
    <n v="1464"/>
    <x v="18"/>
    <d v="2025-07-24T00:00:00"/>
    <x v="4"/>
    <x v="7"/>
    <x v="458"/>
    <s v="2025 Jul"/>
  </r>
  <r>
    <n v="1465"/>
    <x v="16"/>
    <d v="2025-07-25T00:00:00"/>
    <x v="0"/>
    <x v="3"/>
    <x v="459"/>
    <s v="2025 Jul"/>
  </r>
  <r>
    <n v="1466"/>
    <x v="13"/>
    <d v="2025-07-26T00:00:00"/>
    <x v="2"/>
    <x v="4"/>
    <x v="460"/>
    <s v="2025 Jul"/>
  </r>
  <r>
    <n v="1467"/>
    <x v="2"/>
    <d v="2025-07-27T00:00:00"/>
    <x v="10"/>
    <x v="2"/>
    <x v="461"/>
    <s v="2025 Jul"/>
  </r>
  <r>
    <n v="1468"/>
    <x v="11"/>
    <d v="2025-07-28T00:00:00"/>
    <x v="5"/>
    <x v="2"/>
    <x v="462"/>
    <s v="2025 Jul"/>
  </r>
  <r>
    <n v="1469"/>
    <x v="9"/>
    <d v="2025-07-29T00:00:00"/>
    <x v="10"/>
    <x v="10"/>
    <x v="463"/>
    <s v="2025 Jul"/>
  </r>
  <r>
    <n v="1470"/>
    <x v="8"/>
    <d v="2025-07-30T00:00:00"/>
    <x v="9"/>
    <x v="4"/>
    <x v="464"/>
    <s v="2025 Jul"/>
  </r>
  <r>
    <n v="1471"/>
    <x v="17"/>
    <d v="2025-07-31T00:00:00"/>
    <x v="3"/>
    <x v="7"/>
    <x v="465"/>
    <s v="2025 Jul"/>
  </r>
  <r>
    <n v="1472"/>
    <x v="4"/>
    <d v="2025-08-01T00:00:00"/>
    <x v="5"/>
    <x v="6"/>
    <x v="466"/>
    <s v="2025 Aug"/>
  </r>
  <r>
    <n v="1473"/>
    <x v="19"/>
    <d v="2025-08-02T00:00:00"/>
    <x v="6"/>
    <x v="4"/>
    <x v="467"/>
    <s v="2025 Aug"/>
  </r>
  <r>
    <n v="1474"/>
    <x v="0"/>
    <d v="2025-08-03T00:00:00"/>
    <x v="3"/>
    <x v="4"/>
    <x v="468"/>
    <s v="2025 Aug"/>
  </r>
  <r>
    <n v="1475"/>
    <x v="17"/>
    <d v="2025-08-04T00:00:00"/>
    <x v="2"/>
    <x v="10"/>
    <x v="469"/>
    <s v="2025 Aug"/>
  </r>
  <r>
    <n v="1476"/>
    <x v="19"/>
    <d v="2025-08-05T00:00:00"/>
    <x v="3"/>
    <x v="0"/>
    <x v="470"/>
    <s v="2025 Aug"/>
  </r>
  <r>
    <n v="1477"/>
    <x v="11"/>
    <d v="2025-08-06T00:00:00"/>
    <x v="1"/>
    <x v="1"/>
    <x v="471"/>
    <s v="2025 Aug"/>
  </r>
  <r>
    <n v="1478"/>
    <x v="18"/>
    <d v="2025-08-07T00:00:00"/>
    <x v="1"/>
    <x v="9"/>
    <x v="472"/>
    <s v="2025 Aug"/>
  </r>
  <r>
    <n v="1479"/>
    <x v="12"/>
    <d v="2025-08-08T00:00:00"/>
    <x v="11"/>
    <x v="10"/>
    <x v="473"/>
    <s v="2025 Aug"/>
  </r>
  <r>
    <n v="1480"/>
    <x v="12"/>
    <d v="2025-08-09T00:00:00"/>
    <x v="9"/>
    <x v="0"/>
    <x v="474"/>
    <s v="2025 Aug"/>
  </r>
  <r>
    <n v="1481"/>
    <x v="8"/>
    <d v="2025-08-10T00:00:00"/>
    <x v="6"/>
    <x v="6"/>
    <x v="475"/>
    <s v="2025 Aug"/>
  </r>
  <r>
    <n v="1482"/>
    <x v="19"/>
    <d v="2025-08-11T00:00:00"/>
    <x v="6"/>
    <x v="4"/>
    <x v="476"/>
    <s v="2025 Aug"/>
  </r>
  <r>
    <n v="1483"/>
    <x v="4"/>
    <d v="2025-08-12T00:00:00"/>
    <x v="9"/>
    <x v="2"/>
    <x v="477"/>
    <s v="2025 Aug"/>
  </r>
  <r>
    <n v="1484"/>
    <x v="13"/>
    <d v="2025-08-13T00:00:00"/>
    <x v="11"/>
    <x v="5"/>
    <x v="478"/>
    <s v="2025 Aug"/>
  </r>
  <r>
    <n v="1485"/>
    <x v="10"/>
    <d v="2025-08-14T00:00:00"/>
    <x v="4"/>
    <x v="6"/>
    <x v="479"/>
    <s v="2025 Aug"/>
  </r>
  <r>
    <n v="1486"/>
    <x v="18"/>
    <d v="2025-08-15T00:00:00"/>
    <x v="11"/>
    <x v="4"/>
    <x v="480"/>
    <s v="2025 Aug"/>
  </r>
  <r>
    <n v="1487"/>
    <x v="6"/>
    <d v="2025-08-16T00:00:00"/>
    <x v="2"/>
    <x v="3"/>
    <x v="481"/>
    <s v="2025 Aug"/>
  </r>
  <r>
    <n v="1488"/>
    <x v="14"/>
    <d v="2025-08-17T00:00:00"/>
    <x v="8"/>
    <x v="7"/>
    <x v="482"/>
    <s v="2025 Aug"/>
  </r>
  <r>
    <n v="1489"/>
    <x v="9"/>
    <d v="2025-08-18T00:00:00"/>
    <x v="8"/>
    <x v="7"/>
    <x v="483"/>
    <s v="2025 Aug"/>
  </r>
  <r>
    <n v="1490"/>
    <x v="2"/>
    <d v="2025-08-19T00:00:00"/>
    <x v="9"/>
    <x v="3"/>
    <x v="484"/>
    <s v="2025 Aug"/>
  </r>
  <r>
    <n v="1491"/>
    <x v="13"/>
    <d v="2025-08-20T00:00:00"/>
    <x v="3"/>
    <x v="1"/>
    <x v="485"/>
    <s v="2025 Aug"/>
  </r>
  <r>
    <n v="1492"/>
    <x v="12"/>
    <d v="2025-08-21T00:00:00"/>
    <x v="5"/>
    <x v="2"/>
    <x v="486"/>
    <s v="2025 Aug"/>
  </r>
  <r>
    <n v="1493"/>
    <x v="10"/>
    <d v="2025-08-22T00:00:00"/>
    <x v="4"/>
    <x v="10"/>
    <x v="487"/>
    <s v="2025 Aug"/>
  </r>
  <r>
    <n v="1494"/>
    <x v="11"/>
    <d v="2025-08-23T00:00:00"/>
    <x v="5"/>
    <x v="0"/>
    <x v="488"/>
    <s v="2025 Aug"/>
  </r>
  <r>
    <n v="1495"/>
    <x v="5"/>
    <d v="2025-08-24T00:00:00"/>
    <x v="0"/>
    <x v="0"/>
    <x v="489"/>
    <s v="2025 Aug"/>
  </r>
  <r>
    <n v="1496"/>
    <x v="16"/>
    <d v="2025-08-25T00:00:00"/>
    <x v="4"/>
    <x v="3"/>
    <x v="490"/>
    <s v="2025 Aug"/>
  </r>
  <r>
    <n v="1497"/>
    <x v="8"/>
    <d v="2025-08-26T00:00:00"/>
    <x v="1"/>
    <x v="5"/>
    <x v="491"/>
    <s v="2025 Aug"/>
  </r>
  <r>
    <n v="1498"/>
    <x v="14"/>
    <d v="2025-08-27T00:00:00"/>
    <x v="1"/>
    <x v="1"/>
    <x v="492"/>
    <s v="2025 Aug"/>
  </r>
  <r>
    <n v="1499"/>
    <x v="19"/>
    <d v="2025-08-28T00:00:00"/>
    <x v="8"/>
    <x v="2"/>
    <x v="493"/>
    <s v="2025 Aug"/>
  </r>
  <r>
    <n v="1500"/>
    <x v="7"/>
    <d v="2025-08-29T00:00:00"/>
    <x v="11"/>
    <x v="5"/>
    <x v="494"/>
    <s v="2025 Au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9E7D0-DE35-4F03-A0C6-E35FEA6A9D6F}" name="PivotTable2" cacheId="3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3:B44" firstHeaderRow="1" firstDataRow="1" firstDataCol="1"/>
  <pivotFields count="7">
    <pivotField compact="0" outline="0" showAll="0"/>
    <pivotField axis="axisRow" compact="0" outline="0" showAll="0" sortType="descending">
      <items count="21">
        <item x="9"/>
        <item x="6"/>
        <item x="15"/>
        <item x="11"/>
        <item x="14"/>
        <item x="16"/>
        <item x="19"/>
        <item x="2"/>
        <item x="7"/>
        <item x="17"/>
        <item x="1"/>
        <item x="18"/>
        <item x="10"/>
        <item x="4"/>
        <item x="12"/>
        <item x="3"/>
        <item x="8"/>
        <item x="13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/>
    <pivotField dataField="1" compact="0" outline="0" showAll="0">
      <items count="14">
        <item x="0"/>
        <item x="7"/>
        <item x="5"/>
        <item x="6"/>
        <item x="3"/>
        <item x="1"/>
        <item x="9"/>
        <item x="10"/>
        <item x="11"/>
        <item x="8"/>
        <item x="4"/>
        <item x="12"/>
        <item x="2"/>
        <item t="default"/>
      </items>
    </pivotField>
    <pivotField compact="0" outline="0" showAll="0"/>
    <pivotField compact="0" numFmtId="2" outline="0" showAll="0"/>
    <pivotField compact="0" outline="0" showAll="0"/>
  </pivotFields>
  <rowFields count="1">
    <field x="1"/>
  </rowFields>
  <rowItems count="21">
    <i>
      <x v="16"/>
    </i>
    <i>
      <x v="5"/>
    </i>
    <i>
      <x v="19"/>
    </i>
    <i>
      <x v="3"/>
    </i>
    <i>
      <x v="8"/>
    </i>
    <i>
      <x v="4"/>
    </i>
    <i>
      <x v="18"/>
    </i>
    <i>
      <x v="17"/>
    </i>
    <i>
      <x v="2"/>
    </i>
    <i>
      <x v="12"/>
    </i>
    <i>
      <x/>
    </i>
    <i>
      <x v="13"/>
    </i>
    <i>
      <x v="6"/>
    </i>
    <i>
      <x v="9"/>
    </i>
    <i>
      <x v="15"/>
    </i>
    <i>
      <x v="11"/>
    </i>
    <i>
      <x v="14"/>
    </i>
    <i>
      <x v="7"/>
    </i>
    <i>
      <x v="10"/>
    </i>
    <i>
      <x v="1"/>
    </i>
    <i t="grand">
      <x/>
    </i>
  </rowItems>
  <colItems count="1">
    <i/>
  </colItems>
  <dataFields count="1">
    <dataField name="Count of Service_Type" fld="3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34EC4-0431-4641-B485-308764CDBA4D}" name="PivotTable1" cacheId="3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7" firstHeaderRow="1" firstDataRow="1" firstDataCol="1"/>
  <pivotFields count="7">
    <pivotField compact="0" outline="0" showAll="0"/>
    <pivotField compact="0" outline="0" showAll="0"/>
    <pivotField compact="0" numFmtId="14" outline="0" showAll="0"/>
    <pivotField axis="axisRow" compact="0" outline="0" showAll="0" sortType="ascending">
      <items count="14">
        <item x="0"/>
        <item x="7"/>
        <item x="5"/>
        <item x="6"/>
        <item x="3"/>
        <item x="1"/>
        <item x="9"/>
        <item x="10"/>
        <item x="11"/>
        <item x="8"/>
        <item x="4"/>
        <item x="12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numFmtId="2" outline="0" showAll="0"/>
    <pivotField compact="0" outline="0" showAll="0"/>
  </pivotFields>
  <rowFields count="1">
    <field x="3"/>
  </rowFields>
  <rowItems count="14">
    <i>
      <x v="11"/>
    </i>
    <i>
      <x v="7"/>
    </i>
    <i>
      <x/>
    </i>
    <i>
      <x v="12"/>
    </i>
    <i>
      <x v="9"/>
    </i>
    <i>
      <x v="1"/>
    </i>
    <i>
      <x v="3"/>
    </i>
    <i>
      <x v="6"/>
    </i>
    <i>
      <x v="5"/>
    </i>
    <i>
      <x v="2"/>
    </i>
    <i>
      <x v="4"/>
    </i>
    <i>
      <x v="10"/>
    </i>
    <i>
      <x v="8"/>
    </i>
    <i t="grand">
      <x/>
    </i>
  </rowItems>
  <colItems count="1">
    <i/>
  </colItems>
  <dataFields count="1">
    <dataField name="Average of Cost" fld="5" subtotal="average" baseField="0" baseItem="0" numFmtId="2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73658-CEBE-4D4B-96B5-473582E11A3B}" name="PivotTable3" cacheId="3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9:B61" firstHeaderRow="1" firstDataRow="1" firstDataCol="1"/>
  <pivotFields count="7">
    <pivotField compact="0" outline="0" showAll="0"/>
    <pivotField compact="0" outline="0" showAll="0">
      <items count="21">
        <item x="0"/>
        <item x="5"/>
        <item x="13"/>
        <item x="8"/>
        <item x="3"/>
        <item x="12"/>
        <item x="4"/>
        <item x="10"/>
        <item x="18"/>
        <item x="1"/>
        <item x="17"/>
        <item x="7"/>
        <item x="2"/>
        <item x="19"/>
        <item x="16"/>
        <item x="14"/>
        <item x="11"/>
        <item x="15"/>
        <item x="6"/>
        <item x="9"/>
        <item t="default"/>
      </items>
    </pivotField>
    <pivotField compact="0" numFmtId="14" outline="0" showAll="0"/>
    <pivotField compact="0" outline="0" showAll="0">
      <items count="14">
        <item x="0"/>
        <item x="7"/>
        <item x="5"/>
        <item x="6"/>
        <item x="3"/>
        <item x="1"/>
        <item x="9"/>
        <item x="10"/>
        <item x="11"/>
        <item x="8"/>
        <item x="4"/>
        <item x="12"/>
        <item x="2"/>
        <item t="default"/>
      </items>
    </pivotField>
    <pivotField axis="axisRow" compact="0" outline="0" showAll="0" sortType="descending">
      <items count="12">
        <item x="0"/>
        <item x="9"/>
        <item x="4"/>
        <item x="10"/>
        <item x="2"/>
        <item x="7"/>
        <item x="5"/>
        <item x="6"/>
        <item x="3"/>
        <item x="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2" outline="0" showAll="0">
      <items count="496">
        <item x="373"/>
        <item x="87"/>
        <item x="256"/>
        <item x="148"/>
        <item x="33"/>
        <item x="453"/>
        <item x="290"/>
        <item x="298"/>
        <item x="353"/>
        <item x="184"/>
        <item x="325"/>
        <item x="188"/>
        <item x="245"/>
        <item x="308"/>
        <item x="489"/>
        <item x="112"/>
        <item x="439"/>
        <item x="481"/>
        <item x="372"/>
        <item x="149"/>
        <item x="475"/>
        <item x="187"/>
        <item x="263"/>
        <item x="446"/>
        <item x="311"/>
        <item x="36"/>
        <item x="180"/>
        <item x="299"/>
        <item x="411"/>
        <item x="131"/>
        <item x="454"/>
        <item x="431"/>
        <item x="493"/>
        <item x="404"/>
        <item x="358"/>
        <item x="116"/>
        <item x="306"/>
        <item x="450"/>
        <item x="304"/>
        <item x="61"/>
        <item x="452"/>
        <item x="222"/>
        <item x="62"/>
        <item x="418"/>
        <item x="89"/>
        <item x="385"/>
        <item x="460"/>
        <item x="113"/>
        <item x="70"/>
        <item x="354"/>
        <item x="289"/>
        <item x="139"/>
        <item x="397"/>
        <item x="334"/>
        <item x="266"/>
        <item x="50"/>
        <item x="75"/>
        <item x="213"/>
        <item x="94"/>
        <item x="420"/>
        <item x="430"/>
        <item x="96"/>
        <item x="255"/>
        <item x="39"/>
        <item x="472"/>
        <item x="384"/>
        <item x="95"/>
        <item x="422"/>
        <item x="60"/>
        <item x="341"/>
        <item x="295"/>
        <item x="347"/>
        <item x="77"/>
        <item x="248"/>
        <item x="100"/>
        <item x="447"/>
        <item x="294"/>
        <item x="292"/>
        <item x="203"/>
        <item x="364"/>
        <item x="27"/>
        <item x="303"/>
        <item x="31"/>
        <item x="455"/>
        <item x="305"/>
        <item x="18"/>
        <item x="476"/>
        <item x="237"/>
        <item x="426"/>
        <item x="461"/>
        <item x="233"/>
        <item x="11"/>
        <item x="172"/>
        <item x="56"/>
        <item x="66"/>
        <item x="251"/>
        <item x="329"/>
        <item x="240"/>
        <item x="410"/>
        <item x="177"/>
        <item x="451"/>
        <item x="484"/>
        <item x="143"/>
        <item x="413"/>
        <item x="471"/>
        <item x="393"/>
        <item x="324"/>
        <item x="321"/>
        <item x="260"/>
        <item x="427"/>
        <item x="402"/>
        <item x="144"/>
        <item x="344"/>
        <item x="363"/>
        <item x="232"/>
        <item x="343"/>
        <item x="124"/>
        <item x="223"/>
        <item x="282"/>
        <item x="171"/>
        <item x="302"/>
        <item x="197"/>
        <item x="120"/>
        <item x="83"/>
        <item x="98"/>
        <item x="108"/>
        <item x="199"/>
        <item x="391"/>
        <item x="409"/>
        <item x="445"/>
        <item x="142"/>
        <item x="441"/>
        <item x="262"/>
        <item x="174"/>
        <item x="183"/>
        <item x="79"/>
        <item x="202"/>
        <item x="225"/>
        <item x="456"/>
        <item x="477"/>
        <item x="35"/>
        <item x="458"/>
        <item x="229"/>
        <item x="478"/>
        <item x="19"/>
        <item x="130"/>
        <item x="340"/>
        <item x="221"/>
        <item x="46"/>
        <item x="423"/>
        <item x="90"/>
        <item x="138"/>
        <item x="67"/>
        <item x="479"/>
        <item x="170"/>
        <item x="361"/>
        <item x="389"/>
        <item x="117"/>
        <item x="224"/>
        <item x="242"/>
        <item x="97"/>
        <item x="122"/>
        <item x="6"/>
        <item x="69"/>
        <item x="276"/>
        <item x="252"/>
        <item x="8"/>
        <item x="14"/>
        <item x="217"/>
        <item x="154"/>
        <item x="261"/>
        <item x="270"/>
        <item x="23"/>
        <item x="379"/>
        <item x="29"/>
        <item x="38"/>
        <item x="315"/>
        <item x="482"/>
        <item x="156"/>
        <item x="246"/>
        <item x="408"/>
        <item x="448"/>
        <item x="5"/>
        <item x="366"/>
        <item x="459"/>
        <item x="492"/>
        <item x="253"/>
        <item x="444"/>
        <item x="182"/>
        <item x="250"/>
        <item x="392"/>
        <item x="115"/>
        <item x="118"/>
        <item x="486"/>
        <item x="371"/>
        <item x="147"/>
        <item x="369"/>
        <item x="424"/>
        <item x="141"/>
        <item x="152"/>
        <item x="201"/>
        <item x="65"/>
        <item x="314"/>
        <item x="168"/>
        <item x="419"/>
        <item x="259"/>
        <item x="436"/>
        <item x="377"/>
        <item x="359"/>
        <item x="234"/>
        <item x="157"/>
        <item x="429"/>
        <item x="338"/>
        <item x="119"/>
        <item x="208"/>
        <item x="388"/>
        <item x="71"/>
        <item x="0"/>
        <item x="92"/>
        <item x="376"/>
        <item x="368"/>
        <item x="457"/>
        <item x="327"/>
        <item x="136"/>
        <item x="356"/>
        <item x="55"/>
        <item x="275"/>
        <item x="322"/>
        <item x="24"/>
        <item x="10"/>
        <item x="165"/>
        <item x="140"/>
        <item x="293"/>
        <item x="362"/>
        <item x="416"/>
        <item x="102"/>
        <item x="4"/>
        <item x="357"/>
        <item x="370"/>
        <item x="34"/>
        <item x="123"/>
        <item x="380"/>
        <item x="433"/>
        <item x="491"/>
        <item x="28"/>
        <item x="86"/>
        <item x="13"/>
        <item x="466"/>
        <item x="345"/>
        <item x="125"/>
        <item x="51"/>
        <item x="285"/>
        <item x="164"/>
        <item x="313"/>
        <item x="49"/>
        <item x="58"/>
        <item x="342"/>
        <item x="85"/>
        <item x="296"/>
        <item x="443"/>
        <item x="319"/>
        <item x="26"/>
        <item x="271"/>
        <item x="494"/>
        <item x="367"/>
        <item x="301"/>
        <item x="53"/>
        <item x="401"/>
        <item x="126"/>
        <item x="231"/>
        <item x="93"/>
        <item x="54"/>
        <item x="488"/>
        <item x="238"/>
        <item x="48"/>
        <item x="220"/>
        <item x="247"/>
        <item x="415"/>
        <item x="437"/>
        <item x="414"/>
        <item x="383"/>
        <item x="80"/>
        <item x="104"/>
        <item x="387"/>
        <item x="17"/>
        <item x="219"/>
        <item x="483"/>
        <item x="239"/>
        <item x="268"/>
        <item x="190"/>
        <item x="346"/>
        <item x="212"/>
        <item x="360"/>
        <item x="257"/>
        <item x="145"/>
        <item x="485"/>
        <item x="390"/>
        <item x="428"/>
        <item x="243"/>
        <item x="129"/>
        <item x="43"/>
        <item x="42"/>
        <item x="128"/>
        <item x="386"/>
        <item x="204"/>
        <item x="73"/>
        <item x="193"/>
        <item x="462"/>
        <item x="284"/>
        <item x="312"/>
        <item x="469"/>
        <item x="349"/>
        <item x="468"/>
        <item x="189"/>
        <item x="226"/>
        <item x="440"/>
        <item x="274"/>
        <item x="287"/>
        <item x="417"/>
        <item x="150"/>
        <item x="175"/>
        <item x="394"/>
        <item x="480"/>
        <item x="405"/>
        <item x="161"/>
        <item x="398"/>
        <item x="210"/>
        <item x="12"/>
        <item x="91"/>
        <item x="350"/>
        <item x="335"/>
        <item x="20"/>
        <item x="205"/>
        <item x="209"/>
        <item x="412"/>
        <item x="207"/>
        <item x="191"/>
        <item x="162"/>
        <item x="15"/>
        <item x="283"/>
        <item x="332"/>
        <item x="200"/>
        <item x="434"/>
        <item x="192"/>
        <item x="1"/>
        <item x="254"/>
        <item x="82"/>
        <item x="159"/>
        <item x="179"/>
        <item x="169"/>
        <item x="84"/>
        <item x="278"/>
        <item x="355"/>
        <item x="300"/>
        <item x="158"/>
        <item x="127"/>
        <item x="206"/>
        <item x="40"/>
        <item x="81"/>
        <item x="78"/>
        <item x="320"/>
        <item x="137"/>
        <item x="64"/>
        <item x="375"/>
        <item x="348"/>
        <item x="32"/>
        <item x="264"/>
        <item x="286"/>
        <item x="317"/>
        <item x="63"/>
        <item x="121"/>
        <item x="72"/>
        <item x="333"/>
        <item x="215"/>
        <item x="425"/>
        <item x="21"/>
        <item x="258"/>
        <item x="463"/>
        <item x="109"/>
        <item x="30"/>
        <item x="291"/>
        <item x="378"/>
        <item x="25"/>
        <item x="185"/>
        <item x="316"/>
        <item x="132"/>
        <item x="310"/>
        <item x="328"/>
        <item x="74"/>
        <item x="236"/>
        <item x="196"/>
        <item x="297"/>
        <item x="396"/>
        <item x="106"/>
        <item x="7"/>
        <item x="374"/>
        <item x="216"/>
        <item x="52"/>
        <item x="186"/>
        <item x="318"/>
        <item x="9"/>
        <item x="330"/>
        <item x="181"/>
        <item x="465"/>
        <item x="399"/>
        <item x="281"/>
        <item x="228"/>
        <item x="101"/>
        <item x="279"/>
        <item x="432"/>
        <item x="280"/>
        <item x="16"/>
        <item x="99"/>
        <item x="133"/>
        <item x="163"/>
        <item x="194"/>
        <item x="449"/>
        <item x="382"/>
        <item x="166"/>
        <item x="470"/>
        <item x="37"/>
        <item x="3"/>
        <item x="244"/>
        <item x="339"/>
        <item x="337"/>
        <item x="76"/>
        <item x="241"/>
        <item x="249"/>
        <item x="265"/>
        <item x="151"/>
        <item x="395"/>
        <item x="467"/>
        <item x="111"/>
        <item x="107"/>
        <item x="351"/>
        <item x="288"/>
        <item x="88"/>
        <item x="407"/>
        <item x="365"/>
        <item x="105"/>
        <item x="198"/>
        <item x="167"/>
        <item x="487"/>
        <item x="114"/>
        <item x="68"/>
        <item x="273"/>
        <item x="41"/>
        <item x="267"/>
        <item x="435"/>
        <item x="406"/>
        <item x="160"/>
        <item x="146"/>
        <item x="218"/>
        <item x="103"/>
        <item x="57"/>
        <item x="155"/>
        <item x="227"/>
        <item x="178"/>
        <item x="45"/>
        <item x="173"/>
        <item x="22"/>
        <item x="230"/>
        <item x="421"/>
        <item x="277"/>
        <item x="110"/>
        <item x="352"/>
        <item x="135"/>
        <item x="400"/>
        <item x="134"/>
        <item x="214"/>
        <item x="2"/>
        <item x="464"/>
        <item x="211"/>
        <item x="44"/>
        <item x="331"/>
        <item x="381"/>
        <item x="307"/>
        <item x="323"/>
        <item x="47"/>
        <item x="438"/>
        <item x="403"/>
        <item x="269"/>
        <item x="235"/>
        <item x="195"/>
        <item x="59"/>
        <item x="474"/>
        <item x="309"/>
        <item x="153"/>
        <item x="490"/>
        <item x="336"/>
        <item x="442"/>
        <item x="272"/>
        <item x="473"/>
        <item x="176"/>
        <item x="326"/>
        <item t="default"/>
      </items>
    </pivotField>
    <pivotField compact="0" outline="0" showAll="0"/>
  </pivotFields>
  <rowFields count="1">
    <field x="4"/>
  </rowFields>
  <rowItems count="12">
    <i>
      <x v="7"/>
    </i>
    <i>
      <x/>
    </i>
    <i>
      <x v="2"/>
    </i>
    <i>
      <x v="8"/>
    </i>
    <i>
      <x v="4"/>
    </i>
    <i>
      <x v="9"/>
    </i>
    <i>
      <x v="3"/>
    </i>
    <i>
      <x v="5"/>
    </i>
    <i>
      <x v="6"/>
    </i>
    <i>
      <x v="1"/>
    </i>
    <i>
      <x v="10"/>
    </i>
    <i t="grand">
      <x/>
    </i>
  </rowItems>
  <colItems count="1">
    <i/>
  </colItems>
  <dataFields count="1">
    <dataField name="Sum of Cost" fld="5" baseField="0" baseItem="0" numFmtId="2"/>
  </dataFields>
  <chartFormats count="5">
    <chartFormat chart="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9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9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9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9497A-3FE9-4E21-BBB5-E0D4DE69A931}" name="PivotTable4" cacheId="3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66:B80" firstHeaderRow="1" firstDataRow="1" firstDataCol="1"/>
  <pivotFields count="7">
    <pivotField dataField="1" compact="0" outline="0" showAll="0"/>
    <pivotField compact="0" outline="0" showAll="0"/>
    <pivotField compact="0" numFmtId="14" outline="0" showAll="0"/>
    <pivotField axis="axisRow" compact="0" outline="0" showAll="0" sortType="ascending">
      <items count="14">
        <item x="0"/>
        <item x="7"/>
        <item x="5"/>
        <item x="6"/>
        <item x="3"/>
        <item x="1"/>
        <item x="9"/>
        <item x="10"/>
        <item x="11"/>
        <item x="8"/>
        <item x="4"/>
        <item x="12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2" outline="0" showAll="0"/>
    <pivotField compact="0" outline="0" showAll="0"/>
  </pivotFields>
  <rowFields count="1">
    <field x="3"/>
  </rowFields>
  <rowItems count="14">
    <i>
      <x v="11"/>
    </i>
    <i>
      <x v="3"/>
    </i>
    <i>
      <x v="10"/>
    </i>
    <i>
      <x v="5"/>
    </i>
    <i>
      <x v="9"/>
    </i>
    <i>
      <x v="1"/>
    </i>
    <i>
      <x v="12"/>
    </i>
    <i>
      <x v="7"/>
    </i>
    <i>
      <x/>
    </i>
    <i>
      <x v="2"/>
    </i>
    <i>
      <x v="8"/>
    </i>
    <i>
      <x v="4"/>
    </i>
    <i>
      <x v="6"/>
    </i>
    <i t="grand">
      <x/>
    </i>
  </rowItems>
  <colItems count="1">
    <i/>
  </colItems>
  <dataFields count="1">
    <dataField name="Count of Vehicle_ID" fld="0" subtotal="count" baseField="0" baseItem="0"/>
  </dataFields>
  <chartFormats count="5">
    <chartFormat chart="0" format="8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rvice_Type" xr10:uid="{59746CC3-20F1-4144-9359-3006020D5D9D}" sourceName="Service_Type">
  <pivotTables>
    <pivotTable tabId="3" name="PivotTable2"/>
    <pivotTable tabId="3" name="PivotTable1"/>
    <pivotTable tabId="3" name="PivotTable3"/>
    <pivotTable tabId="3" name="PivotTable4"/>
  </pivotTables>
  <data>
    <tabular pivotCacheId="82339046">
      <items count="13">
        <i x="0" s="1"/>
        <i x="7" s="1"/>
        <i x="5" s="1"/>
        <i x="6" s="1"/>
        <i x="3" s="1"/>
        <i x="1" s="1"/>
        <i x="9" s="1"/>
        <i x="10" s="1"/>
        <i x="11" s="1"/>
        <i x="8" s="1"/>
        <i x="4" s="1"/>
        <i x="12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e_Type" xr10:uid="{5D50CBFE-A8B5-49E3-8776-7ADE1D3D5137}" cache="Slicer_Service_Type" caption="Service_Typ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A3E2C8-3A32-4DD6-B7A7-E93DFB3724FF}" name="Table1" displayName="Table1" ref="A1:G501" totalsRowShown="0">
  <autoFilter ref="A1:G501" xr:uid="{ECA3E2C8-3A32-4DD6-B7A7-E93DFB3724FF}"/>
  <tableColumns count="7">
    <tableColumn id="1" xr3:uid="{C25D39BD-1235-4A1B-A35C-8F48E9CE7DEA}" name="Vehicle_ID"/>
    <tableColumn id="2" xr3:uid="{0D309845-5612-4845-BE44-FA08409778A0}" name="Vehicle_Model"/>
    <tableColumn id="3" xr3:uid="{0E378A51-A30D-4E06-94C2-0528F78C5D4A}" name="Service_Date" dataDxfId="2"/>
    <tableColumn id="4" xr3:uid="{CE82FFF1-3E4B-4C84-926D-8E05010405A0}" name="Service_Type"/>
    <tableColumn id="5" xr3:uid="{BC22EA83-EEDC-4850-9B62-9C6CB11569A6}" name="Mechanic_Name"/>
    <tableColumn id="6" xr3:uid="{992D870A-4CC4-4226-BFDD-47BA8DADA8E0}" name="Cost" dataDxfId="1"/>
    <tableColumn id="7" xr3:uid="{A50C46AD-A673-47A9-916E-55EB962CFD74}" name="Month" dataDxfId="0">
      <calculatedColumnFormula>TEXT(C2,"yyyy 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68BF-D05C-4F76-97C5-FCE6FDEDB693}">
  <dimension ref="A1:G501"/>
  <sheetViews>
    <sheetView workbookViewId="0">
      <selection activeCell="F4" sqref="F4"/>
    </sheetView>
  </sheetViews>
  <sheetFormatPr defaultRowHeight="15"/>
  <cols>
    <col min="1" max="1" width="13.42578125" customWidth="1"/>
    <col min="2" max="2" width="18.85546875" customWidth="1"/>
    <col min="3" max="3" width="20.5703125" customWidth="1"/>
    <col min="4" max="4" width="24.85546875" customWidth="1"/>
    <col min="5" max="5" width="18.5703125" bestFit="1" customWidth="1"/>
    <col min="6" max="6" width="11.28515625" style="5" customWidth="1"/>
    <col min="7" max="7" width="9.140625" style="4"/>
  </cols>
  <sheetData>
    <row r="1" spans="1: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5" t="s">
        <v>5</v>
      </c>
      <c r="G1" s="4" t="s">
        <v>6</v>
      </c>
    </row>
    <row r="2" spans="1:7">
      <c r="A2">
        <v>1001</v>
      </c>
      <c r="B2" t="s">
        <v>7</v>
      </c>
      <c r="C2" s="1">
        <v>45399</v>
      </c>
      <c r="D2" t="s">
        <v>8</v>
      </c>
      <c r="E2" t="s">
        <v>9</v>
      </c>
      <c r="F2" s="5">
        <v>244.88</v>
      </c>
      <c r="G2" s="4" t="str">
        <f t="shared" ref="G2:G65" si="0">TEXT(C2,"yyyy mmm")</f>
        <v>2024 Apr</v>
      </c>
    </row>
    <row r="3" spans="1:7">
      <c r="A3">
        <v>1002</v>
      </c>
      <c r="B3" t="s">
        <v>10</v>
      </c>
      <c r="C3" s="1">
        <v>45400</v>
      </c>
      <c r="D3" t="s">
        <v>11</v>
      </c>
      <c r="E3" t="s">
        <v>12</v>
      </c>
      <c r="F3" s="5">
        <v>363.55</v>
      </c>
      <c r="G3" s="4" t="str">
        <f t="shared" si="0"/>
        <v>2024 Apr</v>
      </c>
    </row>
    <row r="4" spans="1:7">
      <c r="A4">
        <v>1003</v>
      </c>
      <c r="B4" t="s">
        <v>13</v>
      </c>
      <c r="C4" s="1">
        <v>45401</v>
      </c>
      <c r="D4" t="s">
        <v>14</v>
      </c>
      <c r="E4" t="s">
        <v>12</v>
      </c>
      <c r="F4" s="5">
        <v>480.49</v>
      </c>
      <c r="G4" s="4" t="str">
        <f t="shared" si="0"/>
        <v>2024 Apr</v>
      </c>
    </row>
    <row r="5" spans="1:7">
      <c r="A5">
        <v>1004</v>
      </c>
      <c r="B5" t="s">
        <v>15</v>
      </c>
      <c r="C5" s="1">
        <v>45402</v>
      </c>
      <c r="D5" t="s">
        <v>14</v>
      </c>
      <c r="E5" t="s">
        <v>16</v>
      </c>
      <c r="F5" s="5">
        <v>437.6</v>
      </c>
      <c r="G5" s="4" t="str">
        <f t="shared" si="0"/>
        <v>2024 Apr</v>
      </c>
    </row>
    <row r="6" spans="1:7">
      <c r="A6">
        <v>1005</v>
      </c>
      <c r="B6" t="s">
        <v>17</v>
      </c>
      <c r="C6" s="1">
        <v>45403</v>
      </c>
      <c r="D6" t="s">
        <v>11</v>
      </c>
      <c r="E6" t="s">
        <v>18</v>
      </c>
      <c r="F6" s="5">
        <v>263.57</v>
      </c>
      <c r="G6" s="4" t="str">
        <f t="shared" si="0"/>
        <v>2024 Apr</v>
      </c>
    </row>
    <row r="7" spans="1:7">
      <c r="A7">
        <v>1006</v>
      </c>
      <c r="B7" t="s">
        <v>19</v>
      </c>
      <c r="C7" s="1">
        <v>45404</v>
      </c>
      <c r="D7" t="s">
        <v>8</v>
      </c>
      <c r="E7" t="s">
        <v>20</v>
      </c>
      <c r="F7" s="5">
        <v>209.17</v>
      </c>
      <c r="G7" s="4" t="str">
        <f t="shared" si="0"/>
        <v>2024 Apr</v>
      </c>
    </row>
    <row r="8" spans="1:7">
      <c r="A8">
        <v>1007</v>
      </c>
      <c r="B8" t="s">
        <v>21</v>
      </c>
      <c r="C8" s="1">
        <v>45405</v>
      </c>
      <c r="D8" t="s">
        <v>14</v>
      </c>
      <c r="E8" t="s">
        <v>20</v>
      </c>
      <c r="F8" s="5">
        <v>191.84</v>
      </c>
      <c r="G8" s="4" t="str">
        <f t="shared" si="0"/>
        <v>2024 Apr</v>
      </c>
    </row>
    <row r="9" spans="1:7">
      <c r="A9">
        <v>1008</v>
      </c>
      <c r="B9" t="s">
        <v>22</v>
      </c>
      <c r="C9" s="1">
        <v>45406</v>
      </c>
      <c r="D9" t="s">
        <v>23</v>
      </c>
      <c r="E9" t="s">
        <v>24</v>
      </c>
      <c r="F9" s="5">
        <v>409.34</v>
      </c>
      <c r="G9" s="4" t="str">
        <f t="shared" si="0"/>
        <v>2024 Apr</v>
      </c>
    </row>
    <row r="10" spans="1:7">
      <c r="A10">
        <v>1009</v>
      </c>
      <c r="B10" t="s">
        <v>25</v>
      </c>
      <c r="C10" s="1">
        <v>45407</v>
      </c>
      <c r="D10" t="s">
        <v>26</v>
      </c>
      <c r="E10" t="s">
        <v>27</v>
      </c>
      <c r="F10" s="5">
        <v>194.7</v>
      </c>
      <c r="G10" s="4" t="str">
        <f t="shared" si="0"/>
        <v>2024 Apr</v>
      </c>
    </row>
    <row r="11" spans="1:7">
      <c r="A11">
        <v>1010</v>
      </c>
      <c r="B11" t="s">
        <v>28</v>
      </c>
      <c r="C11" s="1">
        <v>45408</v>
      </c>
      <c r="D11" t="s">
        <v>29</v>
      </c>
      <c r="E11" t="s">
        <v>18</v>
      </c>
      <c r="F11" s="5">
        <v>416.89</v>
      </c>
      <c r="G11" s="4" t="str">
        <f t="shared" si="0"/>
        <v>2024 Apr</v>
      </c>
    </row>
    <row r="12" spans="1:7">
      <c r="A12">
        <v>1011</v>
      </c>
      <c r="B12" t="s">
        <v>17</v>
      </c>
      <c r="C12" s="1">
        <v>45409</v>
      </c>
      <c r="D12" t="s">
        <v>30</v>
      </c>
      <c r="E12" t="s">
        <v>18</v>
      </c>
      <c r="F12" s="5">
        <v>259.92</v>
      </c>
      <c r="G12" s="4" t="str">
        <f t="shared" si="0"/>
        <v>2024 Apr</v>
      </c>
    </row>
    <row r="13" spans="1:7">
      <c r="A13">
        <v>1012</v>
      </c>
      <c r="B13" t="s">
        <v>25</v>
      </c>
      <c r="C13" s="1">
        <v>45410</v>
      </c>
      <c r="D13" t="s">
        <v>8</v>
      </c>
      <c r="E13" t="s">
        <v>31</v>
      </c>
      <c r="F13" s="5">
        <v>117.8</v>
      </c>
      <c r="G13" s="4" t="str">
        <f t="shared" si="0"/>
        <v>2024 Apr</v>
      </c>
    </row>
    <row r="14" spans="1:7">
      <c r="A14">
        <v>1013</v>
      </c>
      <c r="B14" t="s">
        <v>22</v>
      </c>
      <c r="C14" s="1">
        <v>45411</v>
      </c>
      <c r="D14" t="s">
        <v>30</v>
      </c>
      <c r="E14" t="s">
        <v>18</v>
      </c>
      <c r="F14" s="5">
        <v>346.13</v>
      </c>
      <c r="G14" s="4" t="str">
        <f t="shared" si="0"/>
        <v>2024 Apr</v>
      </c>
    </row>
    <row r="15" spans="1:7">
      <c r="A15">
        <v>1014</v>
      </c>
      <c r="B15" t="s">
        <v>15</v>
      </c>
      <c r="C15" s="1">
        <v>45412</v>
      </c>
      <c r="D15" t="s">
        <v>29</v>
      </c>
      <c r="E15" t="s">
        <v>24</v>
      </c>
      <c r="F15" s="5">
        <v>270.54000000000002</v>
      </c>
      <c r="G15" s="4" t="str">
        <f t="shared" si="0"/>
        <v>2024 Apr</v>
      </c>
    </row>
    <row r="16" spans="1:7">
      <c r="A16">
        <v>1015</v>
      </c>
      <c r="B16" t="s">
        <v>32</v>
      </c>
      <c r="C16" s="1">
        <v>45413</v>
      </c>
      <c r="D16" t="s">
        <v>33</v>
      </c>
      <c r="E16" t="s">
        <v>16</v>
      </c>
      <c r="F16" s="5">
        <v>196.98</v>
      </c>
      <c r="G16" s="4" t="str">
        <f t="shared" si="0"/>
        <v>2024 May</v>
      </c>
    </row>
    <row r="17" spans="1:7">
      <c r="A17">
        <v>1016</v>
      </c>
      <c r="B17" t="s">
        <v>10</v>
      </c>
      <c r="C17" s="1">
        <v>45414</v>
      </c>
      <c r="D17" t="s">
        <v>34</v>
      </c>
      <c r="E17" t="s">
        <v>27</v>
      </c>
      <c r="F17" s="5">
        <v>357.76</v>
      </c>
      <c r="G17" s="4" t="str">
        <f t="shared" si="0"/>
        <v>2024 May</v>
      </c>
    </row>
    <row r="18" spans="1:7">
      <c r="A18">
        <v>1017</v>
      </c>
      <c r="B18" t="s">
        <v>17</v>
      </c>
      <c r="C18" s="1">
        <v>45415</v>
      </c>
      <c r="D18" t="s">
        <v>35</v>
      </c>
      <c r="E18" t="s">
        <v>16</v>
      </c>
      <c r="F18" s="5">
        <v>429.56</v>
      </c>
      <c r="G18" s="4" t="str">
        <f t="shared" si="0"/>
        <v>2024 May</v>
      </c>
    </row>
    <row r="19" spans="1:7">
      <c r="A19">
        <v>1018</v>
      </c>
      <c r="B19" t="s">
        <v>36</v>
      </c>
      <c r="C19" s="1">
        <v>45416</v>
      </c>
      <c r="D19" t="s">
        <v>35</v>
      </c>
      <c r="E19" t="s">
        <v>27</v>
      </c>
      <c r="F19" s="5">
        <v>311.88</v>
      </c>
      <c r="G19" s="4" t="str">
        <f t="shared" si="0"/>
        <v>2024 May</v>
      </c>
    </row>
    <row r="20" spans="1:7">
      <c r="A20">
        <v>1019</v>
      </c>
      <c r="B20" t="s">
        <v>37</v>
      </c>
      <c r="C20" s="1">
        <v>45417</v>
      </c>
      <c r="D20" t="s">
        <v>35</v>
      </c>
      <c r="E20" t="s">
        <v>31</v>
      </c>
      <c r="F20" s="5">
        <v>112.95</v>
      </c>
      <c r="G20" s="4" t="str">
        <f t="shared" si="0"/>
        <v>2024 May</v>
      </c>
    </row>
    <row r="21" spans="1:7">
      <c r="A21">
        <v>1020</v>
      </c>
      <c r="B21" t="s">
        <v>36</v>
      </c>
      <c r="C21" s="1">
        <v>45418</v>
      </c>
      <c r="D21" t="s">
        <v>26</v>
      </c>
      <c r="E21" t="s">
        <v>24</v>
      </c>
      <c r="F21" s="5">
        <v>270.54000000000002</v>
      </c>
      <c r="G21" s="4" t="str">
        <f t="shared" si="0"/>
        <v>2024 May</v>
      </c>
    </row>
    <row r="22" spans="1:7">
      <c r="A22">
        <v>1021</v>
      </c>
      <c r="B22" t="s">
        <v>28</v>
      </c>
      <c r="C22" s="1">
        <v>45419</v>
      </c>
      <c r="D22" t="s">
        <v>38</v>
      </c>
      <c r="E22" t="s">
        <v>12</v>
      </c>
      <c r="F22" s="5">
        <v>171.42</v>
      </c>
      <c r="G22" s="4" t="str">
        <f t="shared" si="0"/>
        <v>2024 May</v>
      </c>
    </row>
    <row r="23" spans="1:7">
      <c r="A23">
        <v>1022</v>
      </c>
      <c r="B23" t="s">
        <v>13</v>
      </c>
      <c r="C23" s="1">
        <v>45420</v>
      </c>
      <c r="D23" t="s">
        <v>38</v>
      </c>
      <c r="E23" t="s">
        <v>16</v>
      </c>
      <c r="F23" s="5">
        <v>349.96</v>
      </c>
      <c r="G23" s="4" t="str">
        <f t="shared" si="0"/>
        <v>2024 May</v>
      </c>
    </row>
    <row r="24" spans="1:7">
      <c r="A24">
        <v>1023</v>
      </c>
      <c r="B24" t="s">
        <v>7</v>
      </c>
      <c r="C24" s="1">
        <v>45421</v>
      </c>
      <c r="D24" t="s">
        <v>23</v>
      </c>
      <c r="E24" t="s">
        <v>20</v>
      </c>
      <c r="F24" s="5">
        <v>393.5</v>
      </c>
      <c r="G24" s="4" t="str">
        <f t="shared" si="0"/>
        <v>2024 May</v>
      </c>
    </row>
    <row r="25" spans="1:7">
      <c r="A25">
        <v>1024</v>
      </c>
      <c r="B25" t="s">
        <v>39</v>
      </c>
      <c r="C25" s="1">
        <v>45422</v>
      </c>
      <c r="D25" t="s">
        <v>40</v>
      </c>
      <c r="E25" t="s">
        <v>20</v>
      </c>
      <c r="F25" s="5">
        <v>472.31</v>
      </c>
      <c r="G25" s="4" t="str">
        <f t="shared" si="0"/>
        <v>2024 May</v>
      </c>
    </row>
    <row r="26" spans="1:7">
      <c r="A26">
        <v>1025</v>
      </c>
      <c r="B26" t="s">
        <v>41</v>
      </c>
      <c r="C26" s="1">
        <v>45423</v>
      </c>
      <c r="D26" t="s">
        <v>23</v>
      </c>
      <c r="E26" t="s">
        <v>42</v>
      </c>
      <c r="F26" s="5">
        <v>201.45</v>
      </c>
      <c r="G26" s="4" t="str">
        <f t="shared" si="0"/>
        <v>2024 May</v>
      </c>
    </row>
    <row r="27" spans="1:7">
      <c r="A27">
        <v>1026</v>
      </c>
      <c r="B27" t="s">
        <v>17</v>
      </c>
      <c r="C27" s="1">
        <v>45424</v>
      </c>
      <c r="D27" t="s">
        <v>11</v>
      </c>
      <c r="E27" t="s">
        <v>12</v>
      </c>
      <c r="F27" s="5">
        <v>258.85000000000002</v>
      </c>
      <c r="G27" s="4" t="str">
        <f t="shared" si="0"/>
        <v>2024 May</v>
      </c>
    </row>
    <row r="28" spans="1:7">
      <c r="A28">
        <v>1027</v>
      </c>
      <c r="B28" t="s">
        <v>43</v>
      </c>
      <c r="C28" s="1">
        <v>45425</v>
      </c>
      <c r="D28" t="s">
        <v>40</v>
      </c>
      <c r="E28" t="s">
        <v>24</v>
      </c>
      <c r="F28" s="5">
        <v>402.55</v>
      </c>
      <c r="G28" s="4" t="str">
        <f t="shared" si="0"/>
        <v>2024 May</v>
      </c>
    </row>
    <row r="29" spans="1:7">
      <c r="A29">
        <v>1028</v>
      </c>
      <c r="B29" t="s">
        <v>19</v>
      </c>
      <c r="C29" s="1">
        <v>45426</v>
      </c>
      <c r="D29" t="s">
        <v>35</v>
      </c>
      <c r="E29" t="s">
        <v>18</v>
      </c>
      <c r="F29" s="5">
        <v>281.61</v>
      </c>
      <c r="G29" s="4" t="str">
        <f t="shared" si="0"/>
        <v>2024 May</v>
      </c>
    </row>
    <row r="30" spans="1:7">
      <c r="A30">
        <v>1029</v>
      </c>
      <c r="B30" t="s">
        <v>43</v>
      </c>
      <c r="C30" s="1">
        <v>45427</v>
      </c>
      <c r="D30" t="s">
        <v>11</v>
      </c>
      <c r="E30" t="s">
        <v>9</v>
      </c>
      <c r="F30" s="5">
        <v>110.52</v>
      </c>
      <c r="G30" s="4" t="str">
        <f t="shared" si="0"/>
        <v>2024 May</v>
      </c>
    </row>
    <row r="31" spans="1:7">
      <c r="A31">
        <v>1030</v>
      </c>
      <c r="B31" t="s">
        <v>7</v>
      </c>
      <c r="C31" s="1">
        <v>45428</v>
      </c>
      <c r="D31" t="s">
        <v>14</v>
      </c>
      <c r="E31" t="s">
        <v>31</v>
      </c>
      <c r="F31" s="5">
        <v>268</v>
      </c>
      <c r="G31" s="4" t="str">
        <f t="shared" si="0"/>
        <v>2024 May</v>
      </c>
    </row>
    <row r="32" spans="1:7">
      <c r="A32">
        <v>1031</v>
      </c>
      <c r="B32" t="s">
        <v>32</v>
      </c>
      <c r="C32" s="1">
        <v>45429</v>
      </c>
      <c r="D32" t="s">
        <v>8</v>
      </c>
      <c r="E32" t="s">
        <v>31</v>
      </c>
      <c r="F32" s="5">
        <v>205.28</v>
      </c>
      <c r="G32" s="4" t="str">
        <f t="shared" si="0"/>
        <v>2024 May</v>
      </c>
    </row>
    <row r="33" spans="1:7">
      <c r="A33">
        <v>1032</v>
      </c>
      <c r="B33" t="s">
        <v>44</v>
      </c>
      <c r="C33" s="1">
        <v>45430</v>
      </c>
      <c r="D33" t="s">
        <v>26</v>
      </c>
      <c r="E33" t="s">
        <v>9</v>
      </c>
      <c r="F33" s="5">
        <v>399.92</v>
      </c>
      <c r="G33" s="4" t="str">
        <f t="shared" si="0"/>
        <v>2024 May</v>
      </c>
    </row>
    <row r="34" spans="1:7">
      <c r="A34">
        <v>1033</v>
      </c>
      <c r="B34" t="s">
        <v>25</v>
      </c>
      <c r="C34" s="1">
        <v>45431</v>
      </c>
      <c r="D34" t="s">
        <v>23</v>
      </c>
      <c r="E34" t="s">
        <v>18</v>
      </c>
      <c r="F34" s="5">
        <v>111.79</v>
      </c>
      <c r="G34" s="4" t="str">
        <f t="shared" si="0"/>
        <v>2024 May</v>
      </c>
    </row>
    <row r="35" spans="1:7">
      <c r="A35">
        <v>1034</v>
      </c>
      <c r="B35" t="s">
        <v>17</v>
      </c>
      <c r="C35" s="1">
        <v>45432</v>
      </c>
      <c r="D35" t="s">
        <v>29</v>
      </c>
      <c r="E35" t="s">
        <v>27</v>
      </c>
      <c r="F35" s="5">
        <v>384.96</v>
      </c>
      <c r="G35" s="4" t="str">
        <f t="shared" si="0"/>
        <v>2024 May</v>
      </c>
    </row>
    <row r="36" spans="1:7">
      <c r="A36">
        <v>1035</v>
      </c>
      <c r="B36" t="s">
        <v>37</v>
      </c>
      <c r="C36" s="1">
        <v>45433</v>
      </c>
      <c r="D36" t="s">
        <v>35</v>
      </c>
      <c r="E36" t="s">
        <v>18</v>
      </c>
      <c r="F36" s="5">
        <v>34.94</v>
      </c>
      <c r="G36" s="4" t="str">
        <f t="shared" si="0"/>
        <v>2024 May</v>
      </c>
    </row>
    <row r="37" spans="1:7">
      <c r="A37">
        <v>1036</v>
      </c>
      <c r="B37" t="s">
        <v>19</v>
      </c>
      <c r="C37" s="1">
        <v>45434</v>
      </c>
      <c r="D37" t="s">
        <v>8</v>
      </c>
      <c r="E37" t="s">
        <v>16</v>
      </c>
      <c r="F37" s="5">
        <v>265.14</v>
      </c>
      <c r="G37" s="4" t="str">
        <f t="shared" si="0"/>
        <v>2024 May</v>
      </c>
    </row>
    <row r="38" spans="1:7">
      <c r="A38">
        <v>1037</v>
      </c>
      <c r="B38" t="s">
        <v>36</v>
      </c>
      <c r="C38" s="1">
        <v>45435</v>
      </c>
      <c r="D38" t="s">
        <v>34</v>
      </c>
      <c r="E38" t="s">
        <v>16</v>
      </c>
      <c r="F38" s="5">
        <v>161.71</v>
      </c>
      <c r="G38" s="4" t="str">
        <f t="shared" si="0"/>
        <v>2024 May</v>
      </c>
    </row>
    <row r="39" spans="1:7">
      <c r="A39">
        <v>1038</v>
      </c>
      <c r="B39" t="s">
        <v>7</v>
      </c>
      <c r="C39" s="1">
        <v>45436</v>
      </c>
      <c r="D39" t="s">
        <v>40</v>
      </c>
      <c r="E39" t="s">
        <v>16</v>
      </c>
      <c r="F39" s="5">
        <v>55.22</v>
      </c>
      <c r="G39" s="4" t="str">
        <f t="shared" si="0"/>
        <v>2024 May</v>
      </c>
    </row>
    <row r="40" spans="1:7">
      <c r="A40">
        <v>1039</v>
      </c>
      <c r="B40" t="s">
        <v>37</v>
      </c>
      <c r="C40" s="1">
        <v>45437</v>
      </c>
      <c r="D40" t="s">
        <v>35</v>
      </c>
      <c r="E40" t="s">
        <v>31</v>
      </c>
      <c r="F40" s="5">
        <v>436.57</v>
      </c>
      <c r="G40" s="4" t="str">
        <f t="shared" si="0"/>
        <v>2024 May</v>
      </c>
    </row>
    <row r="41" spans="1:7">
      <c r="A41">
        <v>1040</v>
      </c>
      <c r="B41" t="s">
        <v>7</v>
      </c>
      <c r="C41" s="1">
        <v>45438</v>
      </c>
      <c r="D41" t="s">
        <v>11</v>
      </c>
      <c r="E41" t="s">
        <v>27</v>
      </c>
      <c r="F41" s="5">
        <v>205.33</v>
      </c>
      <c r="G41" s="4" t="str">
        <f t="shared" si="0"/>
        <v>2024 May</v>
      </c>
    </row>
    <row r="42" spans="1:7">
      <c r="A42">
        <v>1041</v>
      </c>
      <c r="B42" t="s">
        <v>32</v>
      </c>
      <c r="C42" s="1">
        <v>45439</v>
      </c>
      <c r="D42" t="s">
        <v>35</v>
      </c>
      <c r="E42" t="s">
        <v>31</v>
      </c>
      <c r="F42" s="5">
        <v>94.07</v>
      </c>
      <c r="G42" s="4" t="str">
        <f t="shared" si="0"/>
        <v>2024 May</v>
      </c>
    </row>
    <row r="43" spans="1:7">
      <c r="A43">
        <v>1042</v>
      </c>
      <c r="B43" t="s">
        <v>41</v>
      </c>
      <c r="C43" s="1">
        <v>45440</v>
      </c>
      <c r="D43" t="s">
        <v>29</v>
      </c>
      <c r="E43" t="s">
        <v>31</v>
      </c>
      <c r="F43" s="5">
        <v>379.52</v>
      </c>
      <c r="G43" s="4" t="str">
        <f t="shared" si="0"/>
        <v>2024 May</v>
      </c>
    </row>
    <row r="44" spans="1:7">
      <c r="A44">
        <v>1043</v>
      </c>
      <c r="B44" t="s">
        <v>13</v>
      </c>
      <c r="C44" s="1">
        <v>45441</v>
      </c>
      <c r="D44" t="s">
        <v>26</v>
      </c>
      <c r="E44" t="s">
        <v>27</v>
      </c>
      <c r="F44" s="5">
        <v>454.2</v>
      </c>
      <c r="G44" s="4" t="str">
        <f t="shared" si="0"/>
        <v>2024 May</v>
      </c>
    </row>
    <row r="45" spans="1:7">
      <c r="A45">
        <v>1044</v>
      </c>
      <c r="B45" t="s">
        <v>44</v>
      </c>
      <c r="C45" s="1">
        <v>45442</v>
      </c>
      <c r="D45" t="s">
        <v>8</v>
      </c>
      <c r="E45" t="s">
        <v>16</v>
      </c>
      <c r="F45" s="5">
        <v>328.28</v>
      </c>
      <c r="G45" s="4" t="str">
        <f t="shared" si="0"/>
        <v>2024 May</v>
      </c>
    </row>
    <row r="46" spans="1:7">
      <c r="A46">
        <v>1045</v>
      </c>
      <c r="B46" t="s">
        <v>45</v>
      </c>
      <c r="C46" s="1">
        <v>45443</v>
      </c>
      <c r="D46" t="s">
        <v>30</v>
      </c>
      <c r="E46" t="s">
        <v>46</v>
      </c>
      <c r="F46" s="5">
        <v>328.19</v>
      </c>
      <c r="G46" s="4" t="str">
        <f t="shared" si="0"/>
        <v>2024 May</v>
      </c>
    </row>
    <row r="47" spans="1:7">
      <c r="A47">
        <v>1046</v>
      </c>
      <c r="B47" t="s">
        <v>43</v>
      </c>
      <c r="C47" s="1">
        <v>45444</v>
      </c>
      <c r="D47" t="s">
        <v>40</v>
      </c>
      <c r="E47" t="s">
        <v>24</v>
      </c>
      <c r="F47" s="5">
        <v>482.64</v>
      </c>
      <c r="G47" s="4" t="str">
        <f t="shared" si="0"/>
        <v>2024 Jun</v>
      </c>
    </row>
    <row r="48" spans="1:7">
      <c r="A48">
        <v>1047</v>
      </c>
      <c r="B48" t="s">
        <v>41</v>
      </c>
      <c r="C48" s="1">
        <v>45445</v>
      </c>
      <c r="D48" t="s">
        <v>23</v>
      </c>
      <c r="E48" t="s">
        <v>31</v>
      </c>
      <c r="F48" s="5">
        <v>471.77</v>
      </c>
      <c r="G48" s="4" t="str">
        <f t="shared" si="0"/>
        <v>2024 Jun</v>
      </c>
    </row>
    <row r="49" spans="1:7">
      <c r="A49">
        <v>1048</v>
      </c>
      <c r="B49" t="s">
        <v>37</v>
      </c>
      <c r="C49" s="1">
        <v>45446</v>
      </c>
      <c r="D49" t="s">
        <v>40</v>
      </c>
      <c r="E49" t="s">
        <v>20</v>
      </c>
      <c r="F49" s="5">
        <v>174.79</v>
      </c>
      <c r="G49" s="4" t="str">
        <f t="shared" si="0"/>
        <v>2024 Jun</v>
      </c>
    </row>
    <row r="50" spans="1:7">
      <c r="A50">
        <v>1049</v>
      </c>
      <c r="B50" t="s">
        <v>44</v>
      </c>
      <c r="C50" s="1">
        <v>45447</v>
      </c>
      <c r="D50" t="s">
        <v>23</v>
      </c>
      <c r="E50" t="s">
        <v>47</v>
      </c>
      <c r="F50" s="5">
        <v>488.25</v>
      </c>
      <c r="G50" s="4" t="str">
        <f t="shared" si="0"/>
        <v>2024 Jun</v>
      </c>
    </row>
    <row r="51" spans="1:7">
      <c r="A51">
        <v>1050</v>
      </c>
      <c r="B51" t="s">
        <v>22</v>
      </c>
      <c r="C51" s="1">
        <v>45448</v>
      </c>
      <c r="D51" t="s">
        <v>23</v>
      </c>
      <c r="E51" t="s">
        <v>47</v>
      </c>
      <c r="F51" s="5">
        <v>301.04000000000002</v>
      </c>
      <c r="G51" s="4" t="str">
        <f t="shared" si="0"/>
        <v>2024 Jun</v>
      </c>
    </row>
    <row r="52" spans="1:7">
      <c r="A52">
        <v>1051</v>
      </c>
      <c r="B52" t="s">
        <v>37</v>
      </c>
      <c r="C52" s="1">
        <v>45449</v>
      </c>
      <c r="D52" t="s">
        <v>23</v>
      </c>
      <c r="E52" t="s">
        <v>46</v>
      </c>
      <c r="F52" s="5">
        <v>276.12</v>
      </c>
      <c r="G52" s="4" t="str">
        <f t="shared" si="0"/>
        <v>2024 Jun</v>
      </c>
    </row>
    <row r="53" spans="1:7">
      <c r="A53">
        <v>1052</v>
      </c>
      <c r="B53" t="s">
        <v>19</v>
      </c>
      <c r="C53" s="1">
        <v>45450</v>
      </c>
      <c r="D53" t="s">
        <v>14</v>
      </c>
      <c r="E53" t="s">
        <v>16</v>
      </c>
      <c r="F53" s="5">
        <v>85.43</v>
      </c>
      <c r="G53" s="4" t="str">
        <f t="shared" si="0"/>
        <v>2024 Jun</v>
      </c>
    </row>
    <row r="54" spans="1:7">
      <c r="A54">
        <v>1053</v>
      </c>
      <c r="B54" t="s">
        <v>21</v>
      </c>
      <c r="C54" s="1">
        <v>45451</v>
      </c>
      <c r="D54" t="s">
        <v>34</v>
      </c>
      <c r="E54" t="s">
        <v>46</v>
      </c>
      <c r="F54" s="5">
        <v>273.94</v>
      </c>
      <c r="G54" s="4" t="str">
        <f t="shared" si="0"/>
        <v>2024 Jun</v>
      </c>
    </row>
    <row r="55" spans="1:7">
      <c r="A55">
        <v>1054</v>
      </c>
      <c r="B55" t="s">
        <v>44</v>
      </c>
      <c r="C55" s="1">
        <v>45452</v>
      </c>
      <c r="D55" t="s">
        <v>38</v>
      </c>
      <c r="E55" t="s">
        <v>47</v>
      </c>
      <c r="F55" s="5">
        <v>413.23</v>
      </c>
      <c r="G55" s="4" t="str">
        <f t="shared" si="0"/>
        <v>2024 Jun</v>
      </c>
    </row>
    <row r="56" spans="1:7">
      <c r="A56">
        <v>1055</v>
      </c>
      <c r="B56" t="s">
        <v>39</v>
      </c>
      <c r="C56" s="1">
        <v>45453</v>
      </c>
      <c r="D56" t="s">
        <v>33</v>
      </c>
      <c r="E56" t="s">
        <v>47</v>
      </c>
      <c r="F56" s="5">
        <v>286.64</v>
      </c>
      <c r="G56" s="4" t="str">
        <f t="shared" si="0"/>
        <v>2024 Jun</v>
      </c>
    </row>
    <row r="57" spans="1:7">
      <c r="A57">
        <v>1056</v>
      </c>
      <c r="B57" t="s">
        <v>25</v>
      </c>
      <c r="C57" s="1">
        <v>45454</v>
      </c>
      <c r="D57" t="s">
        <v>40</v>
      </c>
      <c r="E57" t="s">
        <v>12</v>
      </c>
      <c r="F57" s="5">
        <v>297.18</v>
      </c>
      <c r="G57" s="4" t="str">
        <f t="shared" si="0"/>
        <v>2024 Jun</v>
      </c>
    </row>
    <row r="58" spans="1:7">
      <c r="A58">
        <v>1057</v>
      </c>
      <c r="B58" t="s">
        <v>28</v>
      </c>
      <c r="C58" s="1">
        <v>45455</v>
      </c>
      <c r="D58" t="s">
        <v>35</v>
      </c>
      <c r="E58" t="s">
        <v>46</v>
      </c>
      <c r="F58" s="5">
        <v>254.43</v>
      </c>
      <c r="G58" s="4" t="str">
        <f t="shared" si="0"/>
        <v>2024 Jun</v>
      </c>
    </row>
    <row r="59" spans="1:7">
      <c r="A59">
        <v>1058</v>
      </c>
      <c r="B59" t="s">
        <v>43</v>
      </c>
      <c r="C59" s="1">
        <v>45456</v>
      </c>
      <c r="D59" t="s">
        <v>23</v>
      </c>
      <c r="E59" t="s">
        <v>31</v>
      </c>
      <c r="F59" s="5">
        <v>123.11</v>
      </c>
      <c r="G59" s="4" t="str">
        <f t="shared" si="0"/>
        <v>2024 Jun</v>
      </c>
    </row>
    <row r="60" spans="1:7">
      <c r="A60">
        <v>1059</v>
      </c>
      <c r="B60" t="s">
        <v>17</v>
      </c>
      <c r="C60" s="1">
        <v>45457</v>
      </c>
      <c r="D60" t="s">
        <v>11</v>
      </c>
      <c r="E60" t="s">
        <v>9</v>
      </c>
      <c r="F60" s="5">
        <v>466.1</v>
      </c>
      <c r="G60" s="4" t="str">
        <f t="shared" si="0"/>
        <v>2024 Jun</v>
      </c>
    </row>
    <row r="61" spans="1:7">
      <c r="A61">
        <v>1060</v>
      </c>
      <c r="B61" t="s">
        <v>25</v>
      </c>
      <c r="C61" s="1">
        <v>45458</v>
      </c>
      <c r="D61" t="s">
        <v>23</v>
      </c>
      <c r="E61" t="s">
        <v>31</v>
      </c>
      <c r="F61" s="5">
        <v>277.39</v>
      </c>
      <c r="G61" s="4" t="str">
        <f t="shared" si="0"/>
        <v>2024 Jun</v>
      </c>
    </row>
    <row r="62" spans="1:7">
      <c r="A62">
        <v>1061</v>
      </c>
      <c r="B62" t="s">
        <v>39</v>
      </c>
      <c r="C62" s="1">
        <v>45459</v>
      </c>
      <c r="D62" t="s">
        <v>11</v>
      </c>
      <c r="E62" t="s">
        <v>9</v>
      </c>
      <c r="F62" s="5">
        <v>492.82</v>
      </c>
      <c r="G62" s="4" t="str">
        <f t="shared" si="0"/>
        <v>2024 Jun</v>
      </c>
    </row>
    <row r="63" spans="1:7">
      <c r="A63">
        <v>1062</v>
      </c>
      <c r="B63" t="s">
        <v>22</v>
      </c>
      <c r="C63" s="1">
        <v>45460</v>
      </c>
      <c r="D63" t="s">
        <v>14</v>
      </c>
      <c r="E63" t="s">
        <v>31</v>
      </c>
      <c r="F63" s="5">
        <v>100.25</v>
      </c>
      <c r="G63" s="4" t="str">
        <f t="shared" si="0"/>
        <v>2024 Jun</v>
      </c>
    </row>
    <row r="64" spans="1:7">
      <c r="A64">
        <v>1063</v>
      </c>
      <c r="B64" t="s">
        <v>13</v>
      </c>
      <c r="C64" s="1">
        <v>45461</v>
      </c>
      <c r="D64" t="s">
        <v>29</v>
      </c>
      <c r="E64" t="s">
        <v>18</v>
      </c>
      <c r="F64" s="5">
        <v>73.73</v>
      </c>
      <c r="G64" s="4" t="str">
        <f t="shared" si="0"/>
        <v>2024 Jun</v>
      </c>
    </row>
    <row r="65" spans="1:7">
      <c r="A65">
        <v>1064</v>
      </c>
      <c r="B65" t="s">
        <v>22</v>
      </c>
      <c r="C65" s="1">
        <v>45462</v>
      </c>
      <c r="D65" t="s">
        <v>23</v>
      </c>
      <c r="E65" t="s">
        <v>31</v>
      </c>
      <c r="F65" s="5">
        <v>75.27</v>
      </c>
      <c r="G65" s="4" t="str">
        <f t="shared" si="0"/>
        <v>2024 Jun</v>
      </c>
    </row>
    <row r="66" spans="1:7">
      <c r="A66">
        <v>1065</v>
      </c>
      <c r="B66" t="s">
        <v>22</v>
      </c>
      <c r="C66" s="1">
        <v>45463</v>
      </c>
      <c r="D66" t="s">
        <v>34</v>
      </c>
      <c r="E66" t="s">
        <v>20</v>
      </c>
      <c r="F66" s="5">
        <v>389.61</v>
      </c>
      <c r="G66" s="4" t="str">
        <f t="shared" ref="G66:G129" si="1">TEXT(C66,"yyyy mmm")</f>
        <v>2024 Jun</v>
      </c>
    </row>
    <row r="67" spans="1:7">
      <c r="A67">
        <v>1066</v>
      </c>
      <c r="B67" t="s">
        <v>19</v>
      </c>
      <c r="C67" s="1">
        <v>45464</v>
      </c>
      <c r="D67" t="s">
        <v>26</v>
      </c>
      <c r="E67" t="s">
        <v>16</v>
      </c>
      <c r="F67" s="5">
        <v>382.22</v>
      </c>
      <c r="G67" s="4" t="str">
        <f t="shared" si="1"/>
        <v>2024 Jun</v>
      </c>
    </row>
    <row r="68" spans="1:7">
      <c r="A68">
        <v>1067</v>
      </c>
      <c r="B68" t="s">
        <v>41</v>
      </c>
      <c r="C68" s="1">
        <v>45465</v>
      </c>
      <c r="D68" t="s">
        <v>11</v>
      </c>
      <c r="E68" t="s">
        <v>24</v>
      </c>
      <c r="F68" s="5">
        <v>225.34</v>
      </c>
      <c r="G68" s="4" t="str">
        <f t="shared" si="1"/>
        <v>2024 Jun</v>
      </c>
    </row>
    <row r="69" spans="1:7">
      <c r="A69">
        <v>1068</v>
      </c>
      <c r="B69" t="s">
        <v>17</v>
      </c>
      <c r="C69" s="1">
        <v>45466</v>
      </c>
      <c r="D69" t="s">
        <v>8</v>
      </c>
      <c r="E69" t="s">
        <v>24</v>
      </c>
      <c r="F69" s="5">
        <v>123.68</v>
      </c>
      <c r="G69" s="4" t="str">
        <f t="shared" si="1"/>
        <v>2024 Jun</v>
      </c>
    </row>
    <row r="70" spans="1:7">
      <c r="A70">
        <v>1069</v>
      </c>
      <c r="B70" t="s">
        <v>36</v>
      </c>
      <c r="C70" s="1">
        <v>45467</v>
      </c>
      <c r="D70" t="s">
        <v>35</v>
      </c>
      <c r="E70" t="s">
        <v>20</v>
      </c>
      <c r="F70" s="5">
        <v>178.2</v>
      </c>
      <c r="G70" s="4" t="str">
        <f t="shared" si="1"/>
        <v>2024 Jun</v>
      </c>
    </row>
    <row r="71" spans="1:7">
      <c r="A71">
        <v>1070</v>
      </c>
      <c r="B71" t="s">
        <v>15</v>
      </c>
      <c r="C71" s="1">
        <v>45468</v>
      </c>
      <c r="D71" t="s">
        <v>11</v>
      </c>
      <c r="E71" t="s">
        <v>16</v>
      </c>
      <c r="F71" s="5">
        <v>453.57</v>
      </c>
      <c r="G71" s="4" t="str">
        <f t="shared" si="1"/>
        <v>2024 Jun</v>
      </c>
    </row>
    <row r="72" spans="1:7">
      <c r="A72">
        <v>1071</v>
      </c>
      <c r="B72" t="s">
        <v>43</v>
      </c>
      <c r="C72" s="1">
        <v>45469</v>
      </c>
      <c r="D72" t="s">
        <v>34</v>
      </c>
      <c r="E72" t="s">
        <v>18</v>
      </c>
      <c r="F72" s="5">
        <v>192.12</v>
      </c>
      <c r="G72" s="4" t="str">
        <f t="shared" si="1"/>
        <v>2024 Jun</v>
      </c>
    </row>
    <row r="73" spans="1:7">
      <c r="A73">
        <v>1072</v>
      </c>
      <c r="B73" t="s">
        <v>7</v>
      </c>
      <c r="C73" s="1">
        <v>45470</v>
      </c>
      <c r="D73" t="s">
        <v>34</v>
      </c>
      <c r="E73" t="s">
        <v>16</v>
      </c>
      <c r="F73" s="5">
        <v>80.16</v>
      </c>
      <c r="G73" s="4" t="str">
        <f t="shared" si="1"/>
        <v>2024 Jun</v>
      </c>
    </row>
    <row r="74" spans="1:7">
      <c r="A74">
        <v>1073</v>
      </c>
      <c r="B74" t="s">
        <v>21</v>
      </c>
      <c r="C74" s="1">
        <v>45471</v>
      </c>
      <c r="D74" t="s">
        <v>33</v>
      </c>
      <c r="E74" t="s">
        <v>47</v>
      </c>
      <c r="F74" s="5">
        <v>243.38</v>
      </c>
      <c r="G74" s="4" t="str">
        <f t="shared" si="1"/>
        <v>2024 Jun</v>
      </c>
    </row>
    <row r="75" spans="1:7">
      <c r="A75">
        <v>1074</v>
      </c>
      <c r="B75" t="s">
        <v>45</v>
      </c>
      <c r="C75" s="1">
        <v>45472</v>
      </c>
      <c r="D75" t="s">
        <v>33</v>
      </c>
      <c r="E75" t="s">
        <v>20</v>
      </c>
      <c r="F75" s="5">
        <v>389.78</v>
      </c>
      <c r="G75" s="4" t="str">
        <f t="shared" si="1"/>
        <v>2024 Jun</v>
      </c>
    </row>
    <row r="76" spans="1:7">
      <c r="A76">
        <v>1075</v>
      </c>
      <c r="B76" t="s">
        <v>48</v>
      </c>
      <c r="C76" s="1">
        <v>45473</v>
      </c>
      <c r="D76" t="s">
        <v>40</v>
      </c>
      <c r="E76" t="s">
        <v>47</v>
      </c>
      <c r="F76" s="5">
        <v>331.02</v>
      </c>
      <c r="G76" s="4" t="str">
        <f t="shared" si="1"/>
        <v>2024 Jun</v>
      </c>
    </row>
    <row r="77" spans="1:7">
      <c r="A77">
        <v>1076</v>
      </c>
      <c r="B77" t="s">
        <v>43</v>
      </c>
      <c r="C77" s="1">
        <v>45474</v>
      </c>
      <c r="D77" t="s">
        <v>30</v>
      </c>
      <c r="E77" t="s">
        <v>31</v>
      </c>
      <c r="F77" s="5">
        <v>404.68</v>
      </c>
      <c r="G77" s="4" t="str">
        <f t="shared" si="1"/>
        <v>2024 Jul</v>
      </c>
    </row>
    <row r="78" spans="1:7">
      <c r="A78">
        <v>1077</v>
      </c>
      <c r="B78" t="s">
        <v>15</v>
      </c>
      <c r="C78" s="1">
        <v>45475</v>
      </c>
      <c r="D78" t="s">
        <v>29</v>
      </c>
      <c r="E78" t="s">
        <v>46</v>
      </c>
      <c r="F78" s="5">
        <v>87.25</v>
      </c>
      <c r="G78" s="4" t="str">
        <f t="shared" si="1"/>
        <v>2024 Jul</v>
      </c>
    </row>
    <row r="79" spans="1:7">
      <c r="A79">
        <v>1078</v>
      </c>
      <c r="B79" t="s">
        <v>28</v>
      </c>
      <c r="C79" s="1">
        <v>45476</v>
      </c>
      <c r="D79" t="s">
        <v>23</v>
      </c>
      <c r="E79" t="s">
        <v>27</v>
      </c>
      <c r="F79" s="5">
        <v>440.44</v>
      </c>
      <c r="G79" s="4" t="str">
        <f t="shared" si="1"/>
        <v>2024 Jul</v>
      </c>
    </row>
    <row r="80" spans="1:7">
      <c r="A80">
        <v>1079</v>
      </c>
      <c r="B80" t="s">
        <v>22</v>
      </c>
      <c r="C80" s="1">
        <v>45477</v>
      </c>
      <c r="D80" t="s">
        <v>34</v>
      </c>
      <c r="E80" t="s">
        <v>9</v>
      </c>
      <c r="F80" s="5">
        <v>103.11</v>
      </c>
      <c r="G80" s="4" t="str">
        <f t="shared" si="1"/>
        <v>2024 Jul</v>
      </c>
    </row>
    <row r="81" spans="1:7">
      <c r="A81">
        <v>1080</v>
      </c>
      <c r="B81" t="s">
        <v>7</v>
      </c>
      <c r="C81" s="1">
        <v>45478</v>
      </c>
      <c r="D81" t="s">
        <v>23</v>
      </c>
      <c r="E81" t="s">
        <v>27</v>
      </c>
      <c r="F81" s="5">
        <v>380.14</v>
      </c>
      <c r="G81" s="4" t="str">
        <f t="shared" si="1"/>
        <v>2024 Jul</v>
      </c>
    </row>
    <row r="82" spans="1:7">
      <c r="A82">
        <v>1081</v>
      </c>
      <c r="B82" t="s">
        <v>43</v>
      </c>
      <c r="C82" s="1">
        <v>45479</v>
      </c>
      <c r="D82" t="s">
        <v>29</v>
      </c>
      <c r="E82" t="s">
        <v>27</v>
      </c>
      <c r="F82" s="5">
        <v>158.25</v>
      </c>
      <c r="G82" s="4" t="str">
        <f t="shared" si="1"/>
        <v>2024 Jul</v>
      </c>
    </row>
    <row r="83" spans="1:7">
      <c r="A83">
        <v>1082</v>
      </c>
      <c r="B83" t="s">
        <v>7</v>
      </c>
      <c r="C83" s="1">
        <v>45480</v>
      </c>
      <c r="D83" t="s">
        <v>8</v>
      </c>
      <c r="E83" t="s">
        <v>24</v>
      </c>
      <c r="F83" s="5">
        <v>310.66000000000003</v>
      </c>
      <c r="G83" s="4" t="str">
        <f t="shared" si="1"/>
        <v>2024 Jul</v>
      </c>
    </row>
    <row r="84" spans="1:7">
      <c r="A84">
        <v>1083</v>
      </c>
      <c r="B84" t="s">
        <v>44</v>
      </c>
      <c r="C84" s="1">
        <v>45481</v>
      </c>
      <c r="D84" t="s">
        <v>40</v>
      </c>
      <c r="E84" t="s">
        <v>24</v>
      </c>
      <c r="F84" s="5">
        <v>379.65</v>
      </c>
      <c r="G84" s="4" t="str">
        <f t="shared" si="1"/>
        <v>2024 Jul</v>
      </c>
    </row>
    <row r="85" spans="1:7">
      <c r="A85">
        <v>1084</v>
      </c>
      <c r="B85" t="s">
        <v>39</v>
      </c>
      <c r="C85" s="1">
        <v>45482</v>
      </c>
      <c r="D85" t="s">
        <v>29</v>
      </c>
      <c r="E85" t="s">
        <v>20</v>
      </c>
      <c r="F85" s="5">
        <v>364.46</v>
      </c>
      <c r="G85" s="4" t="str">
        <f t="shared" si="1"/>
        <v>2024 Jul</v>
      </c>
    </row>
    <row r="86" spans="1:7">
      <c r="A86">
        <v>1085</v>
      </c>
      <c r="B86" t="s">
        <v>17</v>
      </c>
      <c r="C86" s="1">
        <v>45483</v>
      </c>
      <c r="D86" t="s">
        <v>14</v>
      </c>
      <c r="E86" t="s">
        <v>47</v>
      </c>
      <c r="F86" s="5">
        <v>148.22</v>
      </c>
      <c r="G86" s="4" t="str">
        <f t="shared" si="1"/>
        <v>2024 Jul</v>
      </c>
    </row>
    <row r="87" spans="1:7">
      <c r="A87">
        <v>1086</v>
      </c>
      <c r="B87" t="s">
        <v>43</v>
      </c>
      <c r="C87" s="1">
        <v>45484</v>
      </c>
      <c r="D87" t="s">
        <v>8</v>
      </c>
      <c r="E87" t="s">
        <v>20</v>
      </c>
      <c r="F87" s="5">
        <v>369.46</v>
      </c>
      <c r="G87" s="4" t="str">
        <f t="shared" si="1"/>
        <v>2024 Jul</v>
      </c>
    </row>
    <row r="88" spans="1:7">
      <c r="A88">
        <v>1087</v>
      </c>
      <c r="B88" t="s">
        <v>13</v>
      </c>
      <c r="C88" s="1">
        <v>45485</v>
      </c>
      <c r="D88" t="s">
        <v>38</v>
      </c>
      <c r="E88" t="s">
        <v>31</v>
      </c>
      <c r="F88" s="5">
        <v>280.23</v>
      </c>
      <c r="G88" s="4" t="str">
        <f t="shared" si="1"/>
        <v>2024 Jul</v>
      </c>
    </row>
    <row r="89" spans="1:7">
      <c r="A89">
        <v>1088</v>
      </c>
      <c r="B89" t="s">
        <v>48</v>
      </c>
      <c r="C89" s="1">
        <v>45486</v>
      </c>
      <c r="D89" t="s">
        <v>38</v>
      </c>
      <c r="E89" t="s">
        <v>16</v>
      </c>
      <c r="F89" s="5">
        <v>269.89999999999998</v>
      </c>
      <c r="G89" s="4" t="str">
        <f t="shared" si="1"/>
        <v>2024 Jul</v>
      </c>
    </row>
    <row r="90" spans="1:7">
      <c r="A90">
        <v>1089</v>
      </c>
      <c r="B90" t="s">
        <v>44</v>
      </c>
      <c r="C90" s="1">
        <v>45487</v>
      </c>
      <c r="D90" t="s">
        <v>34</v>
      </c>
      <c r="E90" t="s">
        <v>9</v>
      </c>
      <c r="F90" s="5">
        <v>31.31</v>
      </c>
      <c r="G90" s="4" t="str">
        <f t="shared" si="1"/>
        <v>2024 Jul</v>
      </c>
    </row>
    <row r="91" spans="1:7">
      <c r="A91">
        <v>1090</v>
      </c>
      <c r="B91" t="s">
        <v>36</v>
      </c>
      <c r="C91" s="1">
        <v>45488</v>
      </c>
      <c r="D91" t="s">
        <v>8</v>
      </c>
      <c r="E91" t="s">
        <v>46</v>
      </c>
      <c r="F91" s="5">
        <v>447.3</v>
      </c>
      <c r="G91" s="4" t="str">
        <f t="shared" si="1"/>
        <v>2024 Jul</v>
      </c>
    </row>
    <row r="92" spans="1:7">
      <c r="A92">
        <v>1091</v>
      </c>
      <c r="B92" t="s">
        <v>7</v>
      </c>
      <c r="C92" s="1">
        <v>45489</v>
      </c>
      <c r="D92" t="s">
        <v>34</v>
      </c>
      <c r="E92" t="s">
        <v>9</v>
      </c>
      <c r="F92" s="5">
        <v>77.069999999999993</v>
      </c>
      <c r="G92" s="4" t="str">
        <f t="shared" si="1"/>
        <v>2024 Jul</v>
      </c>
    </row>
    <row r="93" spans="1:7">
      <c r="A93">
        <v>1092</v>
      </c>
      <c r="B93" t="s">
        <v>41</v>
      </c>
      <c r="C93" s="1">
        <v>45490</v>
      </c>
      <c r="D93" t="s">
        <v>11</v>
      </c>
      <c r="E93" t="s">
        <v>16</v>
      </c>
      <c r="F93" s="5">
        <v>176.76</v>
      </c>
      <c r="G93" s="4" t="str">
        <f t="shared" si="1"/>
        <v>2024 Jul</v>
      </c>
    </row>
    <row r="94" spans="1:7">
      <c r="A94">
        <v>1093</v>
      </c>
      <c r="B94" t="s">
        <v>41</v>
      </c>
      <c r="C94" s="1">
        <v>45491</v>
      </c>
      <c r="D94" t="s">
        <v>33</v>
      </c>
      <c r="E94" t="s">
        <v>9</v>
      </c>
      <c r="F94" s="5">
        <v>347.5</v>
      </c>
      <c r="G94" s="4" t="str">
        <f t="shared" si="1"/>
        <v>2024 Jul</v>
      </c>
    </row>
    <row r="95" spans="1:7">
      <c r="A95">
        <v>1094</v>
      </c>
      <c r="B95" t="s">
        <v>36</v>
      </c>
      <c r="C95" s="1">
        <v>45492</v>
      </c>
      <c r="D95" t="s">
        <v>35</v>
      </c>
      <c r="E95" t="s">
        <v>27</v>
      </c>
      <c r="F95" s="5">
        <v>245.15</v>
      </c>
      <c r="G95" s="4" t="str">
        <f t="shared" si="1"/>
        <v>2024 Jul</v>
      </c>
    </row>
    <row r="96" spans="1:7">
      <c r="A96">
        <v>1095</v>
      </c>
      <c r="B96" t="s">
        <v>19</v>
      </c>
      <c r="C96" s="1">
        <v>45493</v>
      </c>
      <c r="D96" t="s">
        <v>23</v>
      </c>
      <c r="E96" t="s">
        <v>12</v>
      </c>
      <c r="F96" s="5">
        <v>295.64999999999998</v>
      </c>
      <c r="G96" s="4" t="str">
        <f t="shared" si="1"/>
        <v>2024 Jul</v>
      </c>
    </row>
    <row r="97" spans="1:7">
      <c r="A97">
        <v>1096</v>
      </c>
      <c r="B97" t="s">
        <v>7</v>
      </c>
      <c r="C97" s="1">
        <v>45494</v>
      </c>
      <c r="D97" t="s">
        <v>38</v>
      </c>
      <c r="E97" t="s">
        <v>18</v>
      </c>
      <c r="F97" s="5">
        <v>88.6</v>
      </c>
      <c r="G97" s="4" t="str">
        <f t="shared" si="1"/>
        <v>2024 Jul</v>
      </c>
    </row>
    <row r="98" spans="1:7">
      <c r="A98">
        <v>1097</v>
      </c>
      <c r="B98" t="s">
        <v>36</v>
      </c>
      <c r="C98" s="1">
        <v>45495</v>
      </c>
      <c r="D98" t="s">
        <v>34</v>
      </c>
      <c r="E98" t="s">
        <v>16</v>
      </c>
      <c r="F98" s="5">
        <v>98.95</v>
      </c>
      <c r="G98" s="4" t="str">
        <f t="shared" si="1"/>
        <v>2024 Jul</v>
      </c>
    </row>
    <row r="99" spans="1:7">
      <c r="A99">
        <v>1098</v>
      </c>
      <c r="B99" t="s">
        <v>48</v>
      </c>
      <c r="C99" s="1">
        <v>45496</v>
      </c>
      <c r="D99" t="s">
        <v>29</v>
      </c>
      <c r="E99" t="s">
        <v>47</v>
      </c>
      <c r="F99" s="5">
        <v>91.48</v>
      </c>
      <c r="G99" s="4" t="str">
        <f t="shared" si="1"/>
        <v>2024 Jul</v>
      </c>
    </row>
    <row r="100" spans="1:7">
      <c r="A100">
        <v>1099</v>
      </c>
      <c r="B100" t="s">
        <v>28</v>
      </c>
      <c r="C100" s="1">
        <v>45497</v>
      </c>
      <c r="D100" t="s">
        <v>33</v>
      </c>
      <c r="E100" t="s">
        <v>31</v>
      </c>
      <c r="F100" s="5">
        <v>190.71</v>
      </c>
      <c r="G100" s="4" t="str">
        <f t="shared" si="1"/>
        <v>2024 Jul</v>
      </c>
    </row>
    <row r="101" spans="1:7">
      <c r="A101">
        <v>1100</v>
      </c>
      <c r="B101" t="s">
        <v>43</v>
      </c>
      <c r="C101" s="1">
        <v>45498</v>
      </c>
      <c r="D101" t="s">
        <v>11</v>
      </c>
      <c r="E101" t="s">
        <v>20</v>
      </c>
      <c r="F101" s="5">
        <v>149.4</v>
      </c>
      <c r="G101" s="4" t="str">
        <f t="shared" si="1"/>
        <v>2024 Jul</v>
      </c>
    </row>
    <row r="102" spans="1:7">
      <c r="A102">
        <v>1101</v>
      </c>
      <c r="B102" t="s">
        <v>43</v>
      </c>
      <c r="C102" s="1">
        <v>45499</v>
      </c>
      <c r="D102" t="s">
        <v>26</v>
      </c>
      <c r="E102" t="s">
        <v>12</v>
      </c>
      <c r="F102" s="5">
        <v>429.61</v>
      </c>
      <c r="G102" s="4" t="str">
        <f t="shared" si="1"/>
        <v>2024 Jul</v>
      </c>
    </row>
    <row r="103" spans="1:7">
      <c r="A103">
        <v>1102</v>
      </c>
      <c r="B103" t="s">
        <v>22</v>
      </c>
      <c r="C103" s="1">
        <v>45500</v>
      </c>
      <c r="D103" t="s">
        <v>23</v>
      </c>
      <c r="E103" t="s">
        <v>12</v>
      </c>
      <c r="F103" s="5">
        <v>104.15</v>
      </c>
      <c r="G103" s="4" t="str">
        <f t="shared" si="1"/>
        <v>2024 Jul</v>
      </c>
    </row>
    <row r="104" spans="1:7">
      <c r="A104">
        <v>1103</v>
      </c>
      <c r="B104" t="s">
        <v>37</v>
      </c>
      <c r="C104" s="1">
        <v>45501</v>
      </c>
      <c r="D104" t="s">
        <v>23</v>
      </c>
      <c r="E104" t="s">
        <v>24</v>
      </c>
      <c r="F104" s="5">
        <v>424.7</v>
      </c>
      <c r="G104" s="4" t="str">
        <f t="shared" si="1"/>
        <v>2024 Jul</v>
      </c>
    </row>
    <row r="105" spans="1:7">
      <c r="A105">
        <v>1104</v>
      </c>
      <c r="B105" t="s">
        <v>44</v>
      </c>
      <c r="C105" s="1">
        <v>45502</v>
      </c>
      <c r="D105" t="s">
        <v>40</v>
      </c>
      <c r="E105" t="s">
        <v>24</v>
      </c>
      <c r="F105" s="5">
        <v>263.39</v>
      </c>
      <c r="G105" s="4" t="str">
        <f t="shared" si="1"/>
        <v>2024 Jul</v>
      </c>
    </row>
    <row r="106" spans="1:7">
      <c r="A106">
        <v>1105</v>
      </c>
      <c r="B106" t="s">
        <v>45</v>
      </c>
      <c r="C106" s="1">
        <v>45503</v>
      </c>
      <c r="D106" t="s">
        <v>38</v>
      </c>
      <c r="E106" t="s">
        <v>31</v>
      </c>
      <c r="F106" s="5">
        <v>462.3</v>
      </c>
      <c r="G106" s="4" t="str">
        <f t="shared" si="1"/>
        <v>2024 Jul</v>
      </c>
    </row>
    <row r="107" spans="1:7">
      <c r="A107">
        <v>1106</v>
      </c>
      <c r="B107" t="s">
        <v>10</v>
      </c>
      <c r="C107" s="1">
        <v>45504</v>
      </c>
      <c r="D107" t="s">
        <v>40</v>
      </c>
      <c r="E107" t="s">
        <v>27</v>
      </c>
      <c r="F107" s="5">
        <v>310.83999999999997</v>
      </c>
      <c r="G107" s="4" t="str">
        <f t="shared" si="1"/>
        <v>2024 Jul</v>
      </c>
    </row>
    <row r="108" spans="1:7">
      <c r="A108">
        <v>1107</v>
      </c>
      <c r="B108" t="s">
        <v>13</v>
      </c>
      <c r="C108" s="1">
        <v>45505</v>
      </c>
      <c r="D108" t="s">
        <v>30</v>
      </c>
      <c r="E108" t="s">
        <v>46</v>
      </c>
      <c r="F108" s="5">
        <v>449.72</v>
      </c>
      <c r="G108" s="4" t="str">
        <f t="shared" si="1"/>
        <v>2024 Aug</v>
      </c>
    </row>
    <row r="109" spans="1:7">
      <c r="A109">
        <v>1108</v>
      </c>
      <c r="B109" t="s">
        <v>13</v>
      </c>
      <c r="C109" s="1">
        <v>45506</v>
      </c>
      <c r="D109" t="s">
        <v>23</v>
      </c>
      <c r="E109" t="s">
        <v>20</v>
      </c>
      <c r="F109" s="5">
        <v>408.26</v>
      </c>
      <c r="G109" s="4" t="str">
        <f t="shared" si="1"/>
        <v>2024 Aug</v>
      </c>
    </row>
    <row r="110" spans="1:7">
      <c r="A110">
        <v>1109</v>
      </c>
      <c r="B110" t="s">
        <v>43</v>
      </c>
      <c r="C110" s="1">
        <v>45507</v>
      </c>
      <c r="D110" t="s">
        <v>38</v>
      </c>
      <c r="E110" t="s">
        <v>31</v>
      </c>
      <c r="F110" s="5">
        <v>446.25</v>
      </c>
      <c r="G110" s="4" t="str">
        <f t="shared" si="1"/>
        <v>2024 Aug</v>
      </c>
    </row>
    <row r="111" spans="1:7">
      <c r="A111">
        <v>1110</v>
      </c>
      <c r="B111" t="s">
        <v>45</v>
      </c>
      <c r="C111" s="1">
        <v>45508</v>
      </c>
      <c r="D111" t="s">
        <v>8</v>
      </c>
      <c r="E111" t="s">
        <v>18</v>
      </c>
      <c r="F111" s="5">
        <v>150.28</v>
      </c>
      <c r="G111" s="4" t="str">
        <f t="shared" si="1"/>
        <v>2024 Aug</v>
      </c>
    </row>
    <row r="112" spans="1:7">
      <c r="A112">
        <v>1111</v>
      </c>
      <c r="B112" t="s">
        <v>22</v>
      </c>
      <c r="C112" s="1">
        <v>45509</v>
      </c>
      <c r="D112" t="s">
        <v>35</v>
      </c>
      <c r="E112" t="s">
        <v>47</v>
      </c>
      <c r="F112" s="5">
        <v>399.45</v>
      </c>
      <c r="G112" s="4" t="str">
        <f t="shared" si="1"/>
        <v>2024 Aug</v>
      </c>
    </row>
    <row r="113" spans="1:7">
      <c r="A113">
        <v>1112</v>
      </c>
      <c r="B113" t="s">
        <v>44</v>
      </c>
      <c r="C113" s="1">
        <v>45510</v>
      </c>
      <c r="D113" t="s">
        <v>35</v>
      </c>
      <c r="E113" t="s">
        <v>31</v>
      </c>
      <c r="F113" s="5">
        <v>475.94</v>
      </c>
      <c r="G113" s="4" t="str">
        <f t="shared" si="1"/>
        <v>2024 Aug</v>
      </c>
    </row>
    <row r="114" spans="1:7">
      <c r="A114">
        <v>1113</v>
      </c>
      <c r="B114" t="s">
        <v>36</v>
      </c>
      <c r="C114" s="1">
        <v>45511</v>
      </c>
      <c r="D114" t="s">
        <v>30</v>
      </c>
      <c r="E114" t="s">
        <v>46</v>
      </c>
      <c r="F114" s="5">
        <v>446.22</v>
      </c>
      <c r="G114" s="4" t="str">
        <f t="shared" si="1"/>
        <v>2024 Aug</v>
      </c>
    </row>
    <row r="115" spans="1:7">
      <c r="A115">
        <v>1114</v>
      </c>
      <c r="B115" t="s">
        <v>13</v>
      </c>
      <c r="C115" s="1">
        <v>45512</v>
      </c>
      <c r="D115" t="s">
        <v>40</v>
      </c>
      <c r="E115" t="s">
        <v>9</v>
      </c>
      <c r="F115" s="5">
        <v>44.32</v>
      </c>
      <c r="G115" s="4" t="str">
        <f t="shared" si="1"/>
        <v>2024 Aug</v>
      </c>
    </row>
    <row r="116" spans="1:7">
      <c r="A116">
        <v>1115</v>
      </c>
      <c r="B116" t="s">
        <v>32</v>
      </c>
      <c r="C116" s="1">
        <v>45513</v>
      </c>
      <c r="D116" t="s">
        <v>38</v>
      </c>
      <c r="E116" t="s">
        <v>12</v>
      </c>
      <c r="F116" s="5">
        <v>79.66</v>
      </c>
      <c r="G116" s="4" t="str">
        <f t="shared" si="1"/>
        <v>2024 Aug</v>
      </c>
    </row>
    <row r="117" spans="1:7">
      <c r="A117">
        <v>1116</v>
      </c>
      <c r="B117" t="s">
        <v>48</v>
      </c>
      <c r="C117" s="1">
        <v>45514</v>
      </c>
      <c r="D117" t="s">
        <v>34</v>
      </c>
      <c r="E117" t="s">
        <v>24</v>
      </c>
      <c r="F117" s="5">
        <v>453.38</v>
      </c>
      <c r="G117" s="4" t="str">
        <f t="shared" si="1"/>
        <v>2024 Aug</v>
      </c>
    </row>
    <row r="118" spans="1:7">
      <c r="A118">
        <v>1117</v>
      </c>
      <c r="B118" t="s">
        <v>19</v>
      </c>
      <c r="C118" s="1">
        <v>45515</v>
      </c>
      <c r="D118" t="s">
        <v>29</v>
      </c>
      <c r="E118" t="s">
        <v>46</v>
      </c>
      <c r="F118" s="5">
        <v>217.64</v>
      </c>
      <c r="G118" s="4" t="str">
        <f t="shared" si="1"/>
        <v>2024 Aug</v>
      </c>
    </row>
    <row r="119" spans="1:7">
      <c r="A119">
        <v>1118</v>
      </c>
      <c r="B119" t="s">
        <v>22</v>
      </c>
      <c r="C119" s="1">
        <v>45516</v>
      </c>
      <c r="D119" t="s">
        <v>34</v>
      </c>
      <c r="E119" t="s">
        <v>24</v>
      </c>
      <c r="F119" s="5">
        <v>69.55</v>
      </c>
      <c r="G119" s="4" t="str">
        <f t="shared" si="1"/>
        <v>2024 Aug</v>
      </c>
    </row>
    <row r="120" spans="1:7">
      <c r="A120">
        <v>1119</v>
      </c>
      <c r="B120" t="s">
        <v>13</v>
      </c>
      <c r="C120" s="1">
        <v>45517</v>
      </c>
      <c r="D120" t="s">
        <v>23</v>
      </c>
      <c r="E120" t="s">
        <v>16</v>
      </c>
      <c r="F120" s="5">
        <v>187.55</v>
      </c>
      <c r="G120" s="4" t="str">
        <f t="shared" si="1"/>
        <v>2024 Aug</v>
      </c>
    </row>
    <row r="121" spans="1:7">
      <c r="A121">
        <v>1120</v>
      </c>
      <c r="B121" t="s">
        <v>41</v>
      </c>
      <c r="C121" s="1">
        <v>45518</v>
      </c>
      <c r="D121" t="s">
        <v>38</v>
      </c>
      <c r="E121" t="s">
        <v>18</v>
      </c>
      <c r="F121" s="5">
        <v>217.82</v>
      </c>
      <c r="G121" s="4" t="str">
        <f t="shared" si="1"/>
        <v>2024 Aug</v>
      </c>
    </row>
    <row r="122" spans="1:7">
      <c r="A122">
        <v>1121</v>
      </c>
      <c r="B122" t="s">
        <v>45</v>
      </c>
      <c r="C122" s="1">
        <v>45519</v>
      </c>
      <c r="D122" t="s">
        <v>23</v>
      </c>
      <c r="E122" t="s">
        <v>20</v>
      </c>
      <c r="F122" s="5">
        <v>238.55</v>
      </c>
      <c r="G122" s="4" t="str">
        <f t="shared" si="1"/>
        <v>2024 Aug</v>
      </c>
    </row>
    <row r="123" spans="1:7">
      <c r="A123">
        <v>1122</v>
      </c>
      <c r="B123" t="s">
        <v>22</v>
      </c>
      <c r="C123" s="1">
        <v>45520</v>
      </c>
      <c r="D123" t="s">
        <v>11</v>
      </c>
      <c r="E123" t="s">
        <v>31</v>
      </c>
      <c r="F123" s="5">
        <v>147.85</v>
      </c>
      <c r="G123" s="4" t="str">
        <f t="shared" si="1"/>
        <v>2024 Aug</v>
      </c>
    </row>
    <row r="124" spans="1:7">
      <c r="A124">
        <v>1123</v>
      </c>
      <c r="B124" t="s">
        <v>7</v>
      </c>
      <c r="C124" s="1">
        <v>45521</v>
      </c>
      <c r="D124" t="s">
        <v>34</v>
      </c>
      <c r="E124" t="s">
        <v>46</v>
      </c>
      <c r="F124" s="5">
        <v>389.67</v>
      </c>
      <c r="G124" s="4" t="str">
        <f t="shared" si="1"/>
        <v>2024 Aug</v>
      </c>
    </row>
    <row r="125" spans="1:7">
      <c r="A125">
        <v>1124</v>
      </c>
      <c r="B125" t="s">
        <v>49</v>
      </c>
      <c r="C125" s="1">
        <v>45522</v>
      </c>
      <c r="D125" t="s">
        <v>14</v>
      </c>
      <c r="E125" t="s">
        <v>42</v>
      </c>
      <c r="F125" s="5">
        <v>191.38</v>
      </c>
      <c r="G125" s="4" t="str">
        <f t="shared" si="1"/>
        <v>2024 Aug</v>
      </c>
    </row>
    <row r="126" spans="1:7">
      <c r="A126">
        <v>1125</v>
      </c>
      <c r="B126" t="s">
        <v>15</v>
      </c>
      <c r="C126" s="1">
        <v>45523</v>
      </c>
      <c r="D126" t="s">
        <v>40</v>
      </c>
      <c r="E126" t="s">
        <v>27</v>
      </c>
      <c r="F126" s="5">
        <v>265.18</v>
      </c>
      <c r="G126" s="4" t="str">
        <f t="shared" si="1"/>
        <v>2024 Aug</v>
      </c>
    </row>
    <row r="127" spans="1:7">
      <c r="A127">
        <v>1126</v>
      </c>
      <c r="B127" t="s">
        <v>17</v>
      </c>
      <c r="C127" s="1">
        <v>45524</v>
      </c>
      <c r="D127" t="s">
        <v>8</v>
      </c>
      <c r="E127" t="s">
        <v>31</v>
      </c>
      <c r="F127" s="5">
        <v>143.08000000000001</v>
      </c>
      <c r="G127" s="4" t="str">
        <f t="shared" si="1"/>
        <v>2024 Aug</v>
      </c>
    </row>
    <row r="128" spans="1:7">
      <c r="A128">
        <v>1127</v>
      </c>
      <c r="B128" t="s">
        <v>39</v>
      </c>
      <c r="C128" s="1">
        <v>45525</v>
      </c>
      <c r="D128" t="s">
        <v>26</v>
      </c>
      <c r="E128" t="s">
        <v>18</v>
      </c>
      <c r="F128" s="5">
        <v>272.2</v>
      </c>
      <c r="G128" s="4" t="str">
        <f t="shared" si="1"/>
        <v>2024 Aug</v>
      </c>
    </row>
    <row r="129" spans="1:7">
      <c r="A129">
        <v>1128</v>
      </c>
      <c r="B129" t="s">
        <v>28</v>
      </c>
      <c r="C129" s="1">
        <v>45526</v>
      </c>
      <c r="D129" t="s">
        <v>8</v>
      </c>
      <c r="E129" t="s">
        <v>16</v>
      </c>
      <c r="F129" s="5">
        <v>294.39</v>
      </c>
      <c r="G129" s="4" t="str">
        <f t="shared" si="1"/>
        <v>2024 Aug</v>
      </c>
    </row>
    <row r="130" spans="1:7">
      <c r="A130">
        <v>1129</v>
      </c>
      <c r="B130" t="s">
        <v>36</v>
      </c>
      <c r="C130" s="1">
        <v>45527</v>
      </c>
      <c r="D130" t="s">
        <v>33</v>
      </c>
      <c r="E130" t="s">
        <v>9</v>
      </c>
      <c r="F130" s="5">
        <v>376.29</v>
      </c>
      <c r="G130" s="4" t="str">
        <f t="shared" ref="G130:G193" si="2">TEXT(C130,"yyyy mmm")</f>
        <v>2024 Aug</v>
      </c>
    </row>
    <row r="131" spans="1:7">
      <c r="A131">
        <v>1130</v>
      </c>
      <c r="B131" t="s">
        <v>7</v>
      </c>
      <c r="C131" s="1">
        <v>45528</v>
      </c>
      <c r="D131" t="s">
        <v>33</v>
      </c>
      <c r="E131" t="s">
        <v>47</v>
      </c>
      <c r="F131" s="5">
        <v>329.88</v>
      </c>
      <c r="G131" s="4" t="str">
        <f t="shared" si="2"/>
        <v>2024 Aug</v>
      </c>
    </row>
    <row r="132" spans="1:7">
      <c r="A132">
        <v>1131</v>
      </c>
      <c r="B132" t="s">
        <v>15</v>
      </c>
      <c r="C132" s="1">
        <v>45529</v>
      </c>
      <c r="D132" t="s">
        <v>11</v>
      </c>
      <c r="E132" t="s">
        <v>20</v>
      </c>
      <c r="F132" s="5">
        <v>327.33999999999997</v>
      </c>
      <c r="G132" s="4" t="str">
        <f t="shared" si="2"/>
        <v>2024 Aug</v>
      </c>
    </row>
    <row r="133" spans="1:7">
      <c r="A133">
        <v>1132</v>
      </c>
      <c r="B133" t="s">
        <v>15</v>
      </c>
      <c r="C133" s="1">
        <v>45530</v>
      </c>
      <c r="D133" t="s">
        <v>23</v>
      </c>
      <c r="E133" t="s">
        <v>12</v>
      </c>
      <c r="F133" s="5">
        <v>172.17</v>
      </c>
      <c r="G133" s="4" t="str">
        <f t="shared" si="2"/>
        <v>2024 Aug</v>
      </c>
    </row>
    <row r="134" spans="1:7">
      <c r="A134">
        <v>1133</v>
      </c>
      <c r="B134" t="s">
        <v>36</v>
      </c>
      <c r="C134" s="1">
        <v>45531</v>
      </c>
      <c r="D134" t="s">
        <v>33</v>
      </c>
      <c r="E134" t="s">
        <v>16</v>
      </c>
      <c r="F134" s="5">
        <v>64.900000000000006</v>
      </c>
      <c r="G134" s="4" t="str">
        <f t="shared" si="2"/>
        <v>2024 Aug</v>
      </c>
    </row>
    <row r="135" spans="1:7">
      <c r="A135">
        <v>1134</v>
      </c>
      <c r="B135" t="s">
        <v>22</v>
      </c>
      <c r="C135" s="1">
        <v>45532</v>
      </c>
      <c r="D135" t="s">
        <v>29</v>
      </c>
      <c r="E135" t="s">
        <v>18</v>
      </c>
      <c r="F135" s="5">
        <v>404.15</v>
      </c>
      <c r="G135" s="4" t="str">
        <f t="shared" si="2"/>
        <v>2024 Aug</v>
      </c>
    </row>
    <row r="136" spans="1:7">
      <c r="A136">
        <v>1135</v>
      </c>
      <c r="B136" t="s">
        <v>45</v>
      </c>
      <c r="C136" s="1">
        <v>45533</v>
      </c>
      <c r="D136" t="s">
        <v>40</v>
      </c>
      <c r="E136" t="s">
        <v>27</v>
      </c>
      <c r="F136" s="5">
        <v>430</v>
      </c>
      <c r="G136" s="4" t="str">
        <f t="shared" si="2"/>
        <v>2024 Aug</v>
      </c>
    </row>
    <row r="137" spans="1:7">
      <c r="A137">
        <v>1136</v>
      </c>
      <c r="B137" t="s">
        <v>10</v>
      </c>
      <c r="C137" s="1">
        <v>45534</v>
      </c>
      <c r="D137" t="s">
        <v>34</v>
      </c>
      <c r="E137" t="s">
        <v>9</v>
      </c>
      <c r="F137" s="5">
        <v>478.6</v>
      </c>
      <c r="G137" s="4" t="str">
        <f t="shared" si="2"/>
        <v>2024 Aug</v>
      </c>
    </row>
    <row r="138" spans="1:7">
      <c r="A138">
        <v>1137</v>
      </c>
      <c r="B138" t="s">
        <v>41</v>
      </c>
      <c r="C138" s="1">
        <v>45535</v>
      </c>
      <c r="D138" t="s">
        <v>29</v>
      </c>
      <c r="E138" t="s">
        <v>9</v>
      </c>
      <c r="F138" s="5">
        <v>477.98</v>
      </c>
      <c r="G138" s="4" t="str">
        <f t="shared" si="2"/>
        <v>2024 Aug</v>
      </c>
    </row>
    <row r="139" spans="1:7">
      <c r="A139">
        <v>1138</v>
      </c>
      <c r="B139" t="s">
        <v>49</v>
      </c>
      <c r="C139" s="1">
        <v>45536</v>
      </c>
      <c r="D139" t="s">
        <v>23</v>
      </c>
      <c r="E139" t="s">
        <v>24</v>
      </c>
      <c r="F139" s="5">
        <v>253.68</v>
      </c>
      <c r="G139" s="4" t="str">
        <f t="shared" si="2"/>
        <v>2024 Sep</v>
      </c>
    </row>
    <row r="140" spans="1:7">
      <c r="A140">
        <v>1139</v>
      </c>
      <c r="B140" t="s">
        <v>32</v>
      </c>
      <c r="C140" s="1">
        <v>45537</v>
      </c>
      <c r="D140" t="s">
        <v>40</v>
      </c>
      <c r="E140" t="s">
        <v>12</v>
      </c>
      <c r="F140" s="5">
        <v>381.51</v>
      </c>
      <c r="G140" s="4" t="str">
        <f t="shared" si="2"/>
        <v>2024 Sep</v>
      </c>
    </row>
    <row r="141" spans="1:7">
      <c r="A141">
        <v>1140</v>
      </c>
      <c r="B141" t="s">
        <v>49</v>
      </c>
      <c r="C141" s="1">
        <v>45538</v>
      </c>
      <c r="D141" t="s">
        <v>29</v>
      </c>
      <c r="E141" t="s">
        <v>16</v>
      </c>
      <c r="F141" s="5">
        <v>177.89</v>
      </c>
      <c r="G141" s="4" t="str">
        <f t="shared" si="2"/>
        <v>2024 Sep</v>
      </c>
    </row>
    <row r="142" spans="1:7">
      <c r="A142">
        <v>1141</v>
      </c>
      <c r="B142" t="s">
        <v>43</v>
      </c>
      <c r="C142" s="1">
        <v>45539</v>
      </c>
      <c r="D142" t="s">
        <v>38</v>
      </c>
      <c r="E142" t="s">
        <v>46</v>
      </c>
      <c r="F142" s="5">
        <v>81.34</v>
      </c>
      <c r="G142" s="4" t="str">
        <f t="shared" si="2"/>
        <v>2024 Sep</v>
      </c>
    </row>
    <row r="143" spans="1:7">
      <c r="A143">
        <v>1142</v>
      </c>
      <c r="B143" t="s">
        <v>22</v>
      </c>
      <c r="C143" s="1">
        <v>45540</v>
      </c>
      <c r="D143" t="s">
        <v>29</v>
      </c>
      <c r="E143" t="s">
        <v>47</v>
      </c>
      <c r="F143" s="5">
        <v>260.45999999999998</v>
      </c>
      <c r="G143" s="4" t="str">
        <f t="shared" si="2"/>
        <v>2024 Sep</v>
      </c>
    </row>
    <row r="144" spans="1:7">
      <c r="A144">
        <v>1143</v>
      </c>
      <c r="B144" t="s">
        <v>19</v>
      </c>
      <c r="C144" s="1">
        <v>45541</v>
      </c>
      <c r="D144" t="s">
        <v>34</v>
      </c>
      <c r="E144" t="s">
        <v>18</v>
      </c>
      <c r="F144" s="5">
        <v>224.07</v>
      </c>
      <c r="G144" s="4" t="str">
        <f t="shared" si="2"/>
        <v>2024 Sep</v>
      </c>
    </row>
    <row r="145" spans="1:7">
      <c r="A145">
        <v>1144</v>
      </c>
      <c r="B145" t="s">
        <v>41</v>
      </c>
      <c r="C145" s="1">
        <v>45542</v>
      </c>
      <c r="D145" t="s">
        <v>14</v>
      </c>
      <c r="E145" t="s">
        <v>9</v>
      </c>
      <c r="F145" s="5">
        <v>154.66</v>
      </c>
      <c r="G145" s="4" t="str">
        <f t="shared" si="2"/>
        <v>2024 Sep</v>
      </c>
    </row>
    <row r="146" spans="1:7">
      <c r="A146">
        <v>1145</v>
      </c>
      <c r="B146" t="s">
        <v>15</v>
      </c>
      <c r="C146" s="1">
        <v>45543</v>
      </c>
      <c r="D146" t="s">
        <v>42</v>
      </c>
      <c r="E146" t="s">
        <v>24</v>
      </c>
      <c r="F146" s="5">
        <v>131.13</v>
      </c>
      <c r="G146" s="4" t="str">
        <f t="shared" si="2"/>
        <v>2024 Sep</v>
      </c>
    </row>
    <row r="147" spans="1:7">
      <c r="A147">
        <v>1146</v>
      </c>
      <c r="B147" t="s">
        <v>10</v>
      </c>
      <c r="C147" s="1">
        <v>45544</v>
      </c>
      <c r="D147" t="s">
        <v>33</v>
      </c>
      <c r="E147" t="s">
        <v>46</v>
      </c>
      <c r="F147" s="5">
        <v>138.47999999999999</v>
      </c>
      <c r="G147" s="4" t="str">
        <f t="shared" si="2"/>
        <v>2024 Sep</v>
      </c>
    </row>
    <row r="148" spans="1:7">
      <c r="A148">
        <v>1147</v>
      </c>
      <c r="B148" t="s">
        <v>19</v>
      </c>
      <c r="C148" s="1">
        <v>45545</v>
      </c>
      <c r="D148" t="s">
        <v>34</v>
      </c>
      <c r="E148" t="s">
        <v>27</v>
      </c>
      <c r="F148" s="5">
        <v>322.58</v>
      </c>
      <c r="G148" s="4" t="str">
        <f t="shared" si="2"/>
        <v>2024 Sep</v>
      </c>
    </row>
    <row r="149" spans="1:7">
      <c r="A149">
        <v>1148</v>
      </c>
      <c r="B149" t="s">
        <v>32</v>
      </c>
      <c r="C149" s="1">
        <v>45546</v>
      </c>
      <c r="D149" t="s">
        <v>23</v>
      </c>
      <c r="E149" t="s">
        <v>9</v>
      </c>
      <c r="F149" s="5">
        <v>457.97</v>
      </c>
      <c r="G149" s="4" t="str">
        <f t="shared" si="2"/>
        <v>2024 Sep</v>
      </c>
    </row>
    <row r="150" spans="1:7">
      <c r="A150">
        <v>1149</v>
      </c>
      <c r="B150" t="s">
        <v>44</v>
      </c>
      <c r="C150" s="1">
        <v>45547</v>
      </c>
      <c r="D150" t="s">
        <v>23</v>
      </c>
      <c r="E150" t="s">
        <v>31</v>
      </c>
      <c r="F150" s="5">
        <v>222.22</v>
      </c>
      <c r="G150" s="4" t="str">
        <f t="shared" si="2"/>
        <v>2024 Sep</v>
      </c>
    </row>
    <row r="151" spans="1:7">
      <c r="A151">
        <v>1150</v>
      </c>
      <c r="B151" t="s">
        <v>39</v>
      </c>
      <c r="C151" s="1">
        <v>45548</v>
      </c>
      <c r="D151" t="s">
        <v>30</v>
      </c>
      <c r="E151" t="s">
        <v>46</v>
      </c>
      <c r="F151" s="5">
        <v>34.69</v>
      </c>
      <c r="G151" s="4" t="str">
        <f t="shared" si="2"/>
        <v>2024 Sep</v>
      </c>
    </row>
    <row r="152" spans="1:7">
      <c r="A152">
        <v>1151</v>
      </c>
      <c r="B152" t="s">
        <v>15</v>
      </c>
      <c r="C152" s="1">
        <v>45549</v>
      </c>
      <c r="D152" t="s">
        <v>40</v>
      </c>
      <c r="E152" t="s">
        <v>46</v>
      </c>
      <c r="F152" s="5">
        <v>48.69</v>
      </c>
      <c r="G152" s="4" t="str">
        <f t="shared" si="2"/>
        <v>2024 Sep</v>
      </c>
    </row>
    <row r="153" spans="1:7">
      <c r="A153">
        <v>1152</v>
      </c>
      <c r="B153" t="s">
        <v>41</v>
      </c>
      <c r="C153" s="1">
        <v>45550</v>
      </c>
      <c r="D153" t="s">
        <v>33</v>
      </c>
      <c r="E153" t="s">
        <v>9</v>
      </c>
      <c r="F153" s="5">
        <v>339.79</v>
      </c>
      <c r="G153" s="4" t="str">
        <f t="shared" si="2"/>
        <v>2024 Sep</v>
      </c>
    </row>
    <row r="154" spans="1:7">
      <c r="A154">
        <v>1153</v>
      </c>
      <c r="B154" t="s">
        <v>39</v>
      </c>
      <c r="C154" s="1">
        <v>45551</v>
      </c>
      <c r="D154" t="s">
        <v>26</v>
      </c>
      <c r="E154" t="s">
        <v>20</v>
      </c>
      <c r="F154" s="5">
        <v>441.36</v>
      </c>
      <c r="G154" s="4" t="str">
        <f t="shared" si="2"/>
        <v>2024 Sep</v>
      </c>
    </row>
    <row r="155" spans="1:7">
      <c r="A155">
        <v>1154</v>
      </c>
      <c r="B155" t="s">
        <v>41</v>
      </c>
      <c r="C155" s="1">
        <v>45552</v>
      </c>
      <c r="D155" t="s">
        <v>34</v>
      </c>
      <c r="E155" t="s">
        <v>16</v>
      </c>
      <c r="F155" s="5">
        <v>224.28</v>
      </c>
      <c r="G155" s="4" t="str">
        <f t="shared" si="2"/>
        <v>2024 Sep</v>
      </c>
    </row>
    <row r="156" spans="1:7">
      <c r="A156">
        <v>1155</v>
      </c>
      <c r="B156" t="s">
        <v>28</v>
      </c>
      <c r="C156" s="1">
        <v>45553</v>
      </c>
      <c r="D156" t="s">
        <v>38</v>
      </c>
      <c r="E156" t="s">
        <v>12</v>
      </c>
      <c r="F156" s="5">
        <v>495.24</v>
      </c>
      <c r="G156" s="4" t="str">
        <f t="shared" si="2"/>
        <v>2024 Sep</v>
      </c>
    </row>
    <row r="157" spans="1:7">
      <c r="A157">
        <v>1156</v>
      </c>
      <c r="B157" t="s">
        <v>48</v>
      </c>
      <c r="C157" s="1">
        <v>45554</v>
      </c>
      <c r="D157" t="s">
        <v>34</v>
      </c>
      <c r="E157" t="s">
        <v>16</v>
      </c>
      <c r="F157" s="5">
        <v>198.5</v>
      </c>
      <c r="G157" s="4" t="str">
        <f t="shared" si="2"/>
        <v>2024 Sep</v>
      </c>
    </row>
    <row r="158" spans="1:7">
      <c r="A158">
        <v>1157</v>
      </c>
      <c r="B158" t="s">
        <v>36</v>
      </c>
      <c r="C158" s="1">
        <v>45555</v>
      </c>
      <c r="D158" t="s">
        <v>35</v>
      </c>
      <c r="E158" t="s">
        <v>46</v>
      </c>
      <c r="F158" s="5">
        <v>467.32</v>
      </c>
      <c r="G158" s="4" t="str">
        <f t="shared" si="2"/>
        <v>2024 Sep</v>
      </c>
    </row>
    <row r="159" spans="1:7">
      <c r="A159">
        <v>1158</v>
      </c>
      <c r="B159" t="s">
        <v>41</v>
      </c>
      <c r="C159" s="1">
        <v>45556</v>
      </c>
      <c r="D159" t="s">
        <v>35</v>
      </c>
      <c r="E159" t="s">
        <v>27</v>
      </c>
      <c r="F159" s="5">
        <v>206.74</v>
      </c>
      <c r="G159" s="4" t="str">
        <f t="shared" si="2"/>
        <v>2024 Sep</v>
      </c>
    </row>
    <row r="160" spans="1:7">
      <c r="A160">
        <v>1159</v>
      </c>
      <c r="B160" t="s">
        <v>32</v>
      </c>
      <c r="C160" s="1">
        <v>45557</v>
      </c>
      <c r="D160" t="s">
        <v>8</v>
      </c>
      <c r="E160" t="s">
        <v>20</v>
      </c>
      <c r="F160" s="5">
        <v>233.59</v>
      </c>
      <c r="G160" s="4" t="str">
        <f t="shared" si="2"/>
        <v>2024 Sep</v>
      </c>
    </row>
    <row r="161" spans="1:7">
      <c r="A161">
        <v>1160</v>
      </c>
      <c r="B161" t="s">
        <v>48</v>
      </c>
      <c r="C161" s="1">
        <v>45558</v>
      </c>
      <c r="D161" t="s">
        <v>29</v>
      </c>
      <c r="E161" t="s">
        <v>20</v>
      </c>
      <c r="F161" s="5">
        <v>376.23</v>
      </c>
      <c r="G161" s="4" t="str">
        <f t="shared" si="2"/>
        <v>2024 Sep</v>
      </c>
    </row>
    <row r="162" spans="1:7">
      <c r="A162">
        <v>1161</v>
      </c>
      <c r="B162" t="s">
        <v>45</v>
      </c>
      <c r="C162" s="1">
        <v>45559</v>
      </c>
      <c r="D162" t="s">
        <v>23</v>
      </c>
      <c r="E162" t="s">
        <v>9</v>
      </c>
      <c r="F162" s="5">
        <v>366</v>
      </c>
      <c r="G162" s="4" t="str">
        <f t="shared" si="2"/>
        <v>2024 Sep</v>
      </c>
    </row>
    <row r="163" spans="1:7">
      <c r="A163">
        <v>1162</v>
      </c>
      <c r="B163" t="s">
        <v>28</v>
      </c>
      <c r="C163" s="1">
        <v>45560</v>
      </c>
      <c r="D163" t="s">
        <v>35</v>
      </c>
      <c r="E163" t="s">
        <v>24</v>
      </c>
      <c r="F163" s="5">
        <v>457.5</v>
      </c>
      <c r="G163" s="4" t="str">
        <f t="shared" si="2"/>
        <v>2024 Sep</v>
      </c>
    </row>
    <row r="164" spans="1:7">
      <c r="A164">
        <v>1163</v>
      </c>
      <c r="B164" t="s">
        <v>41</v>
      </c>
      <c r="C164" s="1">
        <v>45561</v>
      </c>
      <c r="D164" t="s">
        <v>30</v>
      </c>
      <c r="E164" t="s">
        <v>9</v>
      </c>
      <c r="F164" s="5">
        <v>344.96</v>
      </c>
      <c r="G164" s="4" t="str">
        <f t="shared" si="2"/>
        <v>2024 Sep</v>
      </c>
    </row>
    <row r="165" spans="1:7">
      <c r="A165">
        <v>1164</v>
      </c>
      <c r="B165" t="s">
        <v>41</v>
      </c>
      <c r="C165" s="1">
        <v>45562</v>
      </c>
      <c r="D165" t="s">
        <v>8</v>
      </c>
      <c r="E165" t="s">
        <v>27</v>
      </c>
      <c r="F165" s="5">
        <v>357.6</v>
      </c>
      <c r="G165" s="4" t="str">
        <f t="shared" si="2"/>
        <v>2024 Sep</v>
      </c>
    </row>
    <row r="166" spans="1:7">
      <c r="A166">
        <v>1165</v>
      </c>
      <c r="B166" t="s">
        <v>43</v>
      </c>
      <c r="C166" s="1">
        <v>45563</v>
      </c>
      <c r="D166" t="s">
        <v>40</v>
      </c>
      <c r="E166" t="s">
        <v>46</v>
      </c>
      <c r="F166" s="5">
        <v>430.58</v>
      </c>
      <c r="G166" s="4" t="str">
        <f t="shared" si="2"/>
        <v>2024 Sep</v>
      </c>
    </row>
    <row r="167" spans="1:7">
      <c r="A167">
        <v>1166</v>
      </c>
      <c r="B167" t="s">
        <v>7</v>
      </c>
      <c r="C167" s="1">
        <v>45564</v>
      </c>
      <c r="D167" t="s">
        <v>40</v>
      </c>
      <c r="E167" t="s">
        <v>47</v>
      </c>
      <c r="F167" s="5">
        <v>275.27999999999997</v>
      </c>
      <c r="G167" s="4" t="str">
        <f t="shared" si="2"/>
        <v>2024 Sep</v>
      </c>
    </row>
    <row r="168" spans="1:7">
      <c r="A168">
        <v>1167</v>
      </c>
      <c r="B168" t="s">
        <v>15</v>
      </c>
      <c r="C168" s="1">
        <v>45565</v>
      </c>
      <c r="D168" t="s">
        <v>30</v>
      </c>
      <c r="E168" t="s">
        <v>16</v>
      </c>
      <c r="F168" s="5">
        <v>260.19</v>
      </c>
      <c r="G168" s="4" t="str">
        <f t="shared" si="2"/>
        <v>2024 Sep</v>
      </c>
    </row>
    <row r="169" spans="1:7">
      <c r="A169">
        <v>1168</v>
      </c>
      <c r="B169" t="s">
        <v>25</v>
      </c>
      <c r="C169" s="1">
        <v>45566</v>
      </c>
      <c r="D169" t="s">
        <v>35</v>
      </c>
      <c r="E169" t="s">
        <v>20</v>
      </c>
      <c r="F169" s="5">
        <v>436.29</v>
      </c>
      <c r="G169" s="4" t="str">
        <f t="shared" si="2"/>
        <v>2024 Oct</v>
      </c>
    </row>
    <row r="170" spans="1:7">
      <c r="A170">
        <v>1169</v>
      </c>
      <c r="B170" t="s">
        <v>25</v>
      </c>
      <c r="C170" s="1">
        <v>45567</v>
      </c>
      <c r="D170" t="s">
        <v>23</v>
      </c>
      <c r="E170" t="s">
        <v>27</v>
      </c>
      <c r="F170" s="5">
        <v>452.13</v>
      </c>
      <c r="G170" s="4" t="str">
        <f t="shared" si="2"/>
        <v>2024 Oct</v>
      </c>
    </row>
    <row r="171" spans="1:7">
      <c r="A171">
        <v>1170</v>
      </c>
      <c r="B171" t="s">
        <v>19</v>
      </c>
      <c r="C171" s="1">
        <v>45568</v>
      </c>
      <c r="D171" t="s">
        <v>8</v>
      </c>
      <c r="E171" t="s">
        <v>16</v>
      </c>
      <c r="F171" s="5">
        <v>229.39</v>
      </c>
      <c r="G171" s="4" t="str">
        <f t="shared" si="2"/>
        <v>2024 Oct</v>
      </c>
    </row>
    <row r="172" spans="1:7">
      <c r="A172">
        <v>1171</v>
      </c>
      <c r="B172" t="s">
        <v>41</v>
      </c>
      <c r="C172" s="1">
        <v>45569</v>
      </c>
      <c r="D172" t="s">
        <v>26</v>
      </c>
      <c r="E172" t="s">
        <v>46</v>
      </c>
      <c r="F172" s="5">
        <v>367.46</v>
      </c>
      <c r="G172" s="4" t="str">
        <f t="shared" si="2"/>
        <v>2024 Oct</v>
      </c>
    </row>
    <row r="173" spans="1:7">
      <c r="A173">
        <v>1172</v>
      </c>
      <c r="B173" t="s">
        <v>43</v>
      </c>
      <c r="C173" s="1">
        <v>45570</v>
      </c>
      <c r="D173" t="s">
        <v>26</v>
      </c>
      <c r="E173" t="s">
        <v>20</v>
      </c>
      <c r="F173" s="5">
        <v>184.54</v>
      </c>
      <c r="G173" s="4" t="str">
        <f t="shared" si="2"/>
        <v>2024 Oct</v>
      </c>
    </row>
    <row r="174" spans="1:7">
      <c r="A174">
        <v>1173</v>
      </c>
      <c r="B174" t="s">
        <v>39</v>
      </c>
      <c r="C174" s="1">
        <v>45571</v>
      </c>
      <c r="D174" t="s">
        <v>26</v>
      </c>
      <c r="E174" t="s">
        <v>20</v>
      </c>
      <c r="F174" s="5">
        <v>146.57</v>
      </c>
      <c r="G174" s="4" t="str">
        <f t="shared" si="2"/>
        <v>2024 Oct</v>
      </c>
    </row>
    <row r="175" spans="1:7">
      <c r="A175">
        <v>1174</v>
      </c>
      <c r="B175" t="s">
        <v>44</v>
      </c>
      <c r="C175" s="1">
        <v>45572</v>
      </c>
      <c r="D175" t="s">
        <v>38</v>
      </c>
      <c r="E175" t="s">
        <v>27</v>
      </c>
      <c r="F175" s="5">
        <v>118.86</v>
      </c>
      <c r="G175" s="4" t="str">
        <f t="shared" si="2"/>
        <v>2024 Oct</v>
      </c>
    </row>
    <row r="176" spans="1:7">
      <c r="A176">
        <v>1175</v>
      </c>
      <c r="B176" t="s">
        <v>28</v>
      </c>
      <c r="C176" s="1">
        <v>45573</v>
      </c>
      <c r="D176" t="s">
        <v>33</v>
      </c>
      <c r="E176" t="s">
        <v>16</v>
      </c>
      <c r="F176" s="5">
        <v>471.88</v>
      </c>
      <c r="G176" s="4" t="str">
        <f t="shared" si="2"/>
        <v>2024 Oct</v>
      </c>
    </row>
    <row r="177" spans="1:7">
      <c r="A177">
        <v>1176</v>
      </c>
      <c r="B177" t="s">
        <v>7</v>
      </c>
      <c r="C177" s="1">
        <v>45574</v>
      </c>
      <c r="D177" t="s">
        <v>11</v>
      </c>
      <c r="E177" t="s">
        <v>24</v>
      </c>
      <c r="F177" s="5">
        <v>270.54000000000002</v>
      </c>
      <c r="G177" s="4" t="str">
        <f t="shared" si="2"/>
        <v>2024 Oct</v>
      </c>
    </row>
    <row r="178" spans="1:7">
      <c r="A178">
        <v>1177</v>
      </c>
      <c r="B178" t="s">
        <v>15</v>
      </c>
      <c r="C178" s="1">
        <v>45575</v>
      </c>
      <c r="D178" t="s">
        <v>42</v>
      </c>
      <c r="E178" t="s">
        <v>12</v>
      </c>
      <c r="F178" s="5">
        <v>156.28</v>
      </c>
      <c r="G178" s="4" t="str">
        <f t="shared" si="2"/>
        <v>2024 Oct</v>
      </c>
    </row>
    <row r="179" spans="1:7">
      <c r="A179">
        <v>1178</v>
      </c>
      <c r="B179" t="s">
        <v>25</v>
      </c>
      <c r="C179" s="1">
        <v>45576</v>
      </c>
      <c r="D179" t="s">
        <v>11</v>
      </c>
      <c r="E179" t="s">
        <v>12</v>
      </c>
      <c r="F179" s="5">
        <v>340.59</v>
      </c>
      <c r="G179" s="4" t="str">
        <f t="shared" si="2"/>
        <v>2024 Oct</v>
      </c>
    </row>
    <row r="180" spans="1:7">
      <c r="A180">
        <v>1179</v>
      </c>
      <c r="B180" t="s">
        <v>22</v>
      </c>
      <c r="C180" s="1">
        <v>45577</v>
      </c>
      <c r="D180" t="s">
        <v>29</v>
      </c>
      <c r="E180" t="s">
        <v>46</v>
      </c>
      <c r="F180" s="5">
        <v>499.37</v>
      </c>
      <c r="G180" s="4" t="str">
        <f t="shared" si="2"/>
        <v>2024 Oct</v>
      </c>
    </row>
    <row r="181" spans="1:7">
      <c r="A181">
        <v>1180</v>
      </c>
      <c r="B181" t="s">
        <v>7</v>
      </c>
      <c r="C181" s="1">
        <v>45578</v>
      </c>
      <c r="D181" t="s">
        <v>23</v>
      </c>
      <c r="E181" t="s">
        <v>46</v>
      </c>
      <c r="F181" s="5">
        <v>127.39</v>
      </c>
      <c r="G181" s="4" t="str">
        <f t="shared" si="2"/>
        <v>2024 Oct</v>
      </c>
    </row>
    <row r="182" spans="1:7">
      <c r="A182">
        <v>1181</v>
      </c>
      <c r="B182" t="s">
        <v>25</v>
      </c>
      <c r="C182" s="1">
        <v>45579</v>
      </c>
      <c r="D182" t="s">
        <v>38</v>
      </c>
      <c r="E182" t="s">
        <v>46</v>
      </c>
      <c r="F182" s="5">
        <v>471.68</v>
      </c>
      <c r="G182" s="4" t="str">
        <f t="shared" si="2"/>
        <v>2024 Oct</v>
      </c>
    </row>
    <row r="183" spans="1:7">
      <c r="A183">
        <v>1182</v>
      </c>
      <c r="B183" t="s">
        <v>7</v>
      </c>
      <c r="C183" s="1">
        <v>45580</v>
      </c>
      <c r="D183" t="s">
        <v>11</v>
      </c>
      <c r="E183" t="s">
        <v>12</v>
      </c>
      <c r="F183" s="5">
        <v>367.04</v>
      </c>
      <c r="G183" s="4" t="str">
        <f t="shared" si="2"/>
        <v>2024 Oct</v>
      </c>
    </row>
    <row r="184" spans="1:7">
      <c r="A184">
        <v>1183</v>
      </c>
      <c r="B184" t="s">
        <v>45</v>
      </c>
      <c r="C184" s="1">
        <v>45581</v>
      </c>
      <c r="D184" t="s">
        <v>35</v>
      </c>
      <c r="E184" t="s">
        <v>12</v>
      </c>
      <c r="F184" s="5">
        <v>59.77</v>
      </c>
      <c r="G184" s="4" t="str">
        <f t="shared" si="2"/>
        <v>2024 Oct</v>
      </c>
    </row>
    <row r="185" spans="1:7">
      <c r="A185">
        <v>1184</v>
      </c>
      <c r="B185" t="s">
        <v>41</v>
      </c>
      <c r="C185" s="1">
        <v>45582</v>
      </c>
      <c r="D185" t="s">
        <v>14</v>
      </c>
      <c r="E185" t="s">
        <v>18</v>
      </c>
      <c r="F185" s="5">
        <v>421.86</v>
      </c>
      <c r="G185" s="4" t="str">
        <f t="shared" si="2"/>
        <v>2024 Oct</v>
      </c>
    </row>
    <row r="186" spans="1:7">
      <c r="A186">
        <v>1185</v>
      </c>
      <c r="B186" t="s">
        <v>19</v>
      </c>
      <c r="C186" s="1">
        <v>45583</v>
      </c>
      <c r="D186" t="s">
        <v>29</v>
      </c>
      <c r="E186" t="s">
        <v>27</v>
      </c>
      <c r="F186" s="5">
        <v>215.16</v>
      </c>
      <c r="G186" s="4" t="str">
        <f t="shared" si="2"/>
        <v>2024 Oct</v>
      </c>
    </row>
    <row r="187" spans="1:7">
      <c r="A187">
        <v>1186</v>
      </c>
      <c r="B187" t="s">
        <v>32</v>
      </c>
      <c r="C187" s="1">
        <v>45584</v>
      </c>
      <c r="D187" t="s">
        <v>8</v>
      </c>
      <c r="E187" t="s">
        <v>27</v>
      </c>
      <c r="F187" s="5">
        <v>157.97</v>
      </c>
      <c r="G187" s="4" t="str">
        <f t="shared" si="2"/>
        <v>2024 Oct</v>
      </c>
    </row>
    <row r="188" spans="1:7">
      <c r="A188">
        <v>1187</v>
      </c>
      <c r="B188" t="s">
        <v>22</v>
      </c>
      <c r="C188" s="1">
        <v>45585</v>
      </c>
      <c r="D188" t="s">
        <v>33</v>
      </c>
      <c r="E188" t="s">
        <v>46</v>
      </c>
      <c r="F188" s="5">
        <v>38.94</v>
      </c>
      <c r="G188" s="4" t="str">
        <f t="shared" si="2"/>
        <v>2024 Oct</v>
      </c>
    </row>
    <row r="189" spans="1:7">
      <c r="A189">
        <v>1188</v>
      </c>
      <c r="B189" t="s">
        <v>37</v>
      </c>
      <c r="C189" s="1">
        <v>45586</v>
      </c>
      <c r="D189" t="s">
        <v>11</v>
      </c>
      <c r="E189" t="s">
        <v>20</v>
      </c>
      <c r="F189" s="5">
        <v>402.81</v>
      </c>
      <c r="G189" s="4" t="str">
        <f t="shared" si="2"/>
        <v>2024 Oct</v>
      </c>
    </row>
    <row r="190" spans="1:7">
      <c r="A190">
        <v>1189</v>
      </c>
      <c r="B190" t="s">
        <v>48</v>
      </c>
      <c r="C190" s="1">
        <v>45587</v>
      </c>
      <c r="D190" t="s">
        <v>40</v>
      </c>
      <c r="E190" t="s">
        <v>24</v>
      </c>
      <c r="F190" s="5">
        <v>415.44</v>
      </c>
      <c r="G190" s="4" t="str">
        <f t="shared" si="2"/>
        <v>2024 Oct</v>
      </c>
    </row>
    <row r="191" spans="1:7">
      <c r="A191">
        <v>1190</v>
      </c>
      <c r="B191" t="s">
        <v>32</v>
      </c>
      <c r="C191" s="1">
        <v>45588</v>
      </c>
      <c r="D191" t="s">
        <v>35</v>
      </c>
      <c r="E191" t="s">
        <v>9</v>
      </c>
      <c r="F191" s="5">
        <v>49.54</v>
      </c>
      <c r="G191" s="4" t="str">
        <f t="shared" si="2"/>
        <v>2024 Oct</v>
      </c>
    </row>
    <row r="192" spans="1:7">
      <c r="A192">
        <v>1191</v>
      </c>
      <c r="B192" t="s">
        <v>41</v>
      </c>
      <c r="C192" s="1">
        <v>45589</v>
      </c>
      <c r="D192" t="s">
        <v>14</v>
      </c>
      <c r="E192" t="s">
        <v>16</v>
      </c>
      <c r="F192" s="5">
        <v>40.229999999999997</v>
      </c>
      <c r="G192" s="4" t="str">
        <f t="shared" si="2"/>
        <v>2024 Oct</v>
      </c>
    </row>
    <row r="193" spans="1:7">
      <c r="A193">
        <v>1192</v>
      </c>
      <c r="B193" t="s">
        <v>49</v>
      </c>
      <c r="C193" s="1">
        <v>45590</v>
      </c>
      <c r="D193" t="s">
        <v>26</v>
      </c>
      <c r="E193" t="s">
        <v>16</v>
      </c>
      <c r="F193" s="5">
        <v>335.7</v>
      </c>
      <c r="G193" s="4" t="str">
        <f t="shared" si="2"/>
        <v>2024 Oct</v>
      </c>
    </row>
    <row r="194" spans="1:7">
      <c r="A194">
        <v>1193</v>
      </c>
      <c r="B194" t="s">
        <v>45</v>
      </c>
      <c r="C194" s="1">
        <v>45591</v>
      </c>
      <c r="D194" t="s">
        <v>34</v>
      </c>
      <c r="E194" t="s">
        <v>16</v>
      </c>
      <c r="F194" s="5">
        <v>317.81</v>
      </c>
      <c r="G194" s="4" t="str">
        <f t="shared" ref="G194:G257" si="3">TEXT(C194,"yyyy mmm")</f>
        <v>2024 Oct</v>
      </c>
    </row>
    <row r="195" spans="1:7">
      <c r="A195">
        <v>1194</v>
      </c>
      <c r="B195" t="s">
        <v>43</v>
      </c>
      <c r="C195" s="1">
        <v>45592</v>
      </c>
      <c r="D195" t="s">
        <v>33</v>
      </c>
      <c r="E195" t="s">
        <v>20</v>
      </c>
      <c r="F195" s="5">
        <v>356.53</v>
      </c>
      <c r="G195" s="4" t="str">
        <f t="shared" si="3"/>
        <v>2024 Oct</v>
      </c>
    </row>
    <row r="196" spans="1:7">
      <c r="A196">
        <v>1195</v>
      </c>
      <c r="B196" t="s">
        <v>44</v>
      </c>
      <c r="C196" s="1">
        <v>45593</v>
      </c>
      <c r="D196" t="s">
        <v>38</v>
      </c>
      <c r="E196" t="s">
        <v>18</v>
      </c>
      <c r="F196" s="5">
        <v>363.14</v>
      </c>
      <c r="G196" s="4" t="str">
        <f t="shared" si="3"/>
        <v>2024 Oct</v>
      </c>
    </row>
    <row r="197" spans="1:7">
      <c r="A197">
        <v>1196</v>
      </c>
      <c r="B197" t="s">
        <v>7</v>
      </c>
      <c r="C197" s="1">
        <v>45594</v>
      </c>
      <c r="D197" t="s">
        <v>35</v>
      </c>
      <c r="E197" t="s">
        <v>9</v>
      </c>
      <c r="F197" s="5">
        <v>331.21</v>
      </c>
      <c r="G197" s="4" t="str">
        <f t="shared" si="3"/>
        <v>2024 Oct</v>
      </c>
    </row>
    <row r="198" spans="1:7">
      <c r="A198">
        <v>1197</v>
      </c>
      <c r="B198" t="s">
        <v>32</v>
      </c>
      <c r="C198" s="1">
        <v>45595</v>
      </c>
      <c r="D198" t="s">
        <v>11</v>
      </c>
      <c r="E198" t="s">
        <v>46</v>
      </c>
      <c r="F198" s="5">
        <v>432.03</v>
      </c>
      <c r="G198" s="4" t="str">
        <f t="shared" si="3"/>
        <v>2024 Oct</v>
      </c>
    </row>
    <row r="199" spans="1:7">
      <c r="A199">
        <v>1198</v>
      </c>
      <c r="B199" t="s">
        <v>39</v>
      </c>
      <c r="C199" s="1">
        <v>45596</v>
      </c>
      <c r="D199" t="s">
        <v>30</v>
      </c>
      <c r="E199" t="s">
        <v>18</v>
      </c>
      <c r="F199" s="5">
        <v>492.37</v>
      </c>
      <c r="G199" s="4" t="str">
        <f t="shared" si="3"/>
        <v>2024 Oct</v>
      </c>
    </row>
    <row r="200" spans="1:7">
      <c r="A200">
        <v>1199</v>
      </c>
      <c r="B200" t="s">
        <v>48</v>
      </c>
      <c r="C200" s="1">
        <v>45597</v>
      </c>
      <c r="D200" t="s">
        <v>35</v>
      </c>
      <c r="E200" t="s">
        <v>12</v>
      </c>
      <c r="F200" s="5">
        <v>406.26</v>
      </c>
      <c r="G200" s="4" t="str">
        <f t="shared" si="3"/>
        <v>2024 Nov</v>
      </c>
    </row>
    <row r="201" spans="1:7">
      <c r="A201">
        <v>1200</v>
      </c>
      <c r="B201" t="s">
        <v>37</v>
      </c>
      <c r="C201" s="1">
        <v>45598</v>
      </c>
      <c r="D201" t="s">
        <v>40</v>
      </c>
      <c r="E201" t="s">
        <v>24</v>
      </c>
      <c r="F201" s="5">
        <v>147.56</v>
      </c>
      <c r="G201" s="4" t="str">
        <f t="shared" si="3"/>
        <v>2024 Nov</v>
      </c>
    </row>
    <row r="202" spans="1:7">
      <c r="A202">
        <v>1201</v>
      </c>
      <c r="B202" t="s">
        <v>36</v>
      </c>
      <c r="C202" s="1">
        <v>45599</v>
      </c>
      <c r="D202" t="s">
        <v>40</v>
      </c>
      <c r="E202" t="s">
        <v>47</v>
      </c>
      <c r="F202" s="5">
        <v>450.82</v>
      </c>
      <c r="G202" s="4" t="str">
        <f t="shared" si="3"/>
        <v>2024 Nov</v>
      </c>
    </row>
    <row r="203" spans="1:7">
      <c r="A203">
        <v>1202</v>
      </c>
      <c r="B203" t="s">
        <v>37</v>
      </c>
      <c r="C203" s="1">
        <v>45600</v>
      </c>
      <c r="D203" t="s">
        <v>40</v>
      </c>
      <c r="E203" t="s">
        <v>16</v>
      </c>
      <c r="F203" s="5">
        <v>151.78</v>
      </c>
      <c r="G203" s="4" t="str">
        <f t="shared" si="3"/>
        <v>2024 Nov</v>
      </c>
    </row>
    <row r="204" spans="1:7">
      <c r="A204">
        <v>1203</v>
      </c>
      <c r="B204" t="s">
        <v>44</v>
      </c>
      <c r="C204" s="1">
        <v>45601</v>
      </c>
      <c r="D204" t="s">
        <v>35</v>
      </c>
      <c r="E204" t="s">
        <v>18</v>
      </c>
      <c r="F204" s="5">
        <v>363.03</v>
      </c>
      <c r="G204" s="4" t="str">
        <f t="shared" si="3"/>
        <v>2024 Nov</v>
      </c>
    </row>
    <row r="205" spans="1:7">
      <c r="A205">
        <v>1204</v>
      </c>
      <c r="B205" t="s">
        <v>44</v>
      </c>
      <c r="C205" s="1">
        <v>45602</v>
      </c>
      <c r="D205" t="s">
        <v>33</v>
      </c>
      <c r="E205" t="s">
        <v>18</v>
      </c>
      <c r="F205" s="5">
        <v>224.42</v>
      </c>
      <c r="G205" s="4" t="str">
        <f t="shared" si="3"/>
        <v>2024 Nov</v>
      </c>
    </row>
    <row r="206" spans="1:7">
      <c r="A206">
        <v>1205</v>
      </c>
      <c r="B206" t="s">
        <v>49</v>
      </c>
      <c r="C206" s="1">
        <v>45603</v>
      </c>
      <c r="D206" t="s">
        <v>23</v>
      </c>
      <c r="E206" t="s">
        <v>20</v>
      </c>
      <c r="F206" s="5">
        <v>158.29</v>
      </c>
      <c r="G206" s="4" t="str">
        <f t="shared" si="3"/>
        <v>2024 Nov</v>
      </c>
    </row>
    <row r="207" spans="1:7">
      <c r="A207">
        <v>1206</v>
      </c>
      <c r="B207" t="s">
        <v>36</v>
      </c>
      <c r="C207" s="1">
        <v>45604</v>
      </c>
      <c r="D207" t="s">
        <v>26</v>
      </c>
      <c r="E207" t="s">
        <v>16</v>
      </c>
      <c r="F207" s="5">
        <v>107.16</v>
      </c>
      <c r="G207" s="4" t="str">
        <f t="shared" si="3"/>
        <v>2024 Nov</v>
      </c>
    </row>
    <row r="208" spans="1:7">
      <c r="A208">
        <v>1207</v>
      </c>
      <c r="B208" t="s">
        <v>25</v>
      </c>
      <c r="C208" s="1">
        <v>45605</v>
      </c>
      <c r="D208" t="s">
        <v>8</v>
      </c>
      <c r="E208" t="s">
        <v>46</v>
      </c>
      <c r="F208" s="5">
        <v>330.6</v>
      </c>
      <c r="G208" s="4" t="str">
        <f t="shared" si="3"/>
        <v>2024 Nov</v>
      </c>
    </row>
    <row r="209" spans="1:7">
      <c r="A209">
        <v>1208</v>
      </c>
      <c r="B209" t="s">
        <v>21</v>
      </c>
      <c r="C209" s="1">
        <v>45606</v>
      </c>
      <c r="D209" t="s">
        <v>33</v>
      </c>
      <c r="E209" t="s">
        <v>9</v>
      </c>
      <c r="F209" s="5">
        <v>354.1</v>
      </c>
      <c r="G209" s="4" t="str">
        <f t="shared" si="3"/>
        <v>2024 Nov</v>
      </c>
    </row>
    <row r="210" spans="1:7">
      <c r="A210">
        <v>1209</v>
      </c>
      <c r="B210" t="s">
        <v>41</v>
      </c>
      <c r="C210" s="1">
        <v>45607</v>
      </c>
      <c r="D210" t="s">
        <v>30</v>
      </c>
      <c r="E210" t="s">
        <v>12</v>
      </c>
      <c r="F210" s="5">
        <v>378.93</v>
      </c>
      <c r="G210" s="4" t="str">
        <f t="shared" si="3"/>
        <v>2024 Nov</v>
      </c>
    </row>
    <row r="211" spans="1:7">
      <c r="A211">
        <v>1210</v>
      </c>
      <c r="B211" t="s">
        <v>32</v>
      </c>
      <c r="C211" s="1">
        <v>45608</v>
      </c>
      <c r="D211" t="s">
        <v>29</v>
      </c>
      <c r="E211" t="s">
        <v>20</v>
      </c>
      <c r="F211" s="5">
        <v>356.45</v>
      </c>
      <c r="G211" s="4" t="str">
        <f t="shared" si="3"/>
        <v>2024 Nov</v>
      </c>
    </row>
    <row r="212" spans="1:7">
      <c r="A212">
        <v>1211</v>
      </c>
      <c r="B212" t="s">
        <v>22</v>
      </c>
      <c r="C212" s="1">
        <v>45609</v>
      </c>
      <c r="D212" t="s">
        <v>29</v>
      </c>
      <c r="E212" t="s">
        <v>47</v>
      </c>
      <c r="F212" s="5">
        <v>239.45</v>
      </c>
      <c r="G212" s="4" t="str">
        <f t="shared" si="3"/>
        <v>2024 Nov</v>
      </c>
    </row>
    <row r="213" spans="1:7">
      <c r="A213">
        <v>1212</v>
      </c>
      <c r="B213" t="s">
        <v>10</v>
      </c>
      <c r="C213" s="1">
        <v>45610</v>
      </c>
      <c r="D213" t="s">
        <v>40</v>
      </c>
      <c r="E213" t="s">
        <v>20</v>
      </c>
      <c r="F213" s="5">
        <v>354.33</v>
      </c>
      <c r="G213" s="4" t="str">
        <f t="shared" si="3"/>
        <v>2024 Nov</v>
      </c>
    </row>
    <row r="214" spans="1:7">
      <c r="A214">
        <v>1213</v>
      </c>
      <c r="B214" t="s">
        <v>25</v>
      </c>
      <c r="C214" s="1">
        <v>45611</v>
      </c>
      <c r="D214" t="s">
        <v>11</v>
      </c>
      <c r="E214" t="s">
        <v>9</v>
      </c>
      <c r="F214" s="5">
        <v>346.07</v>
      </c>
      <c r="G214" s="4" t="str">
        <f t="shared" si="3"/>
        <v>2024 Nov</v>
      </c>
    </row>
    <row r="215" spans="1:7">
      <c r="A215">
        <v>1214</v>
      </c>
      <c r="B215" t="s">
        <v>48</v>
      </c>
      <c r="C215" s="1">
        <v>45612</v>
      </c>
      <c r="D215" t="s">
        <v>40</v>
      </c>
      <c r="E215" t="s">
        <v>27</v>
      </c>
      <c r="F215" s="5">
        <v>482.42</v>
      </c>
      <c r="G215" s="4" t="str">
        <f t="shared" si="3"/>
        <v>2024 Nov</v>
      </c>
    </row>
    <row r="216" spans="1:7">
      <c r="A216">
        <v>1215</v>
      </c>
      <c r="B216" t="s">
        <v>7</v>
      </c>
      <c r="C216" s="1">
        <v>45613</v>
      </c>
      <c r="D216" t="s">
        <v>8</v>
      </c>
      <c r="E216" t="s">
        <v>46</v>
      </c>
      <c r="F216" s="5">
        <v>318.20999999999998</v>
      </c>
      <c r="G216" s="4" t="str">
        <f t="shared" si="3"/>
        <v>2024 Nov</v>
      </c>
    </row>
    <row r="217" spans="1:7">
      <c r="A217">
        <v>1216</v>
      </c>
      <c r="B217" t="s">
        <v>39</v>
      </c>
      <c r="C217" s="1">
        <v>45614</v>
      </c>
      <c r="D217" t="s">
        <v>8</v>
      </c>
      <c r="E217" t="s">
        <v>46</v>
      </c>
      <c r="F217" s="5">
        <v>87.53</v>
      </c>
      <c r="G217" s="4" t="str">
        <f t="shared" si="3"/>
        <v>2024 Nov</v>
      </c>
    </row>
    <row r="218" spans="1:7">
      <c r="A218">
        <v>1217</v>
      </c>
      <c r="B218" t="s">
        <v>48</v>
      </c>
      <c r="C218" s="1">
        <v>45615</v>
      </c>
      <c r="D218" t="s">
        <v>23</v>
      </c>
      <c r="E218" t="s">
        <v>31</v>
      </c>
      <c r="F218" s="5">
        <v>478.61</v>
      </c>
      <c r="G218" s="4" t="str">
        <f t="shared" si="3"/>
        <v>2024 Nov</v>
      </c>
    </row>
    <row r="219" spans="1:7">
      <c r="A219">
        <v>1218</v>
      </c>
      <c r="B219" t="s">
        <v>44</v>
      </c>
      <c r="C219" s="1">
        <v>45616</v>
      </c>
      <c r="D219" t="s">
        <v>34</v>
      </c>
      <c r="E219" t="s">
        <v>16</v>
      </c>
      <c r="F219" s="5">
        <v>392.67</v>
      </c>
      <c r="G219" s="4" t="str">
        <f t="shared" si="3"/>
        <v>2024 Nov</v>
      </c>
    </row>
    <row r="220" spans="1:7">
      <c r="A220">
        <v>1219</v>
      </c>
      <c r="B220" t="s">
        <v>37</v>
      </c>
      <c r="C220" s="1">
        <v>45617</v>
      </c>
      <c r="D220" t="s">
        <v>14</v>
      </c>
      <c r="E220" t="s">
        <v>18</v>
      </c>
      <c r="F220" s="5">
        <v>412.39</v>
      </c>
      <c r="G220" s="4" t="str">
        <f t="shared" si="3"/>
        <v>2024 Nov</v>
      </c>
    </row>
    <row r="221" spans="1:7">
      <c r="A221">
        <v>1220</v>
      </c>
      <c r="B221" t="s">
        <v>45</v>
      </c>
      <c r="C221" s="1">
        <v>45618</v>
      </c>
      <c r="D221" t="s">
        <v>38</v>
      </c>
      <c r="E221" t="s">
        <v>31</v>
      </c>
      <c r="F221" s="5">
        <v>197.43</v>
      </c>
      <c r="G221" s="4" t="str">
        <f t="shared" si="3"/>
        <v>2024 Nov</v>
      </c>
    </row>
    <row r="222" spans="1:7">
      <c r="A222">
        <v>1221</v>
      </c>
      <c r="B222" t="s">
        <v>21</v>
      </c>
      <c r="C222" s="1">
        <v>45619</v>
      </c>
      <c r="D222" t="s">
        <v>14</v>
      </c>
      <c r="E222" t="s">
        <v>18</v>
      </c>
      <c r="F222" s="5">
        <v>459.01</v>
      </c>
      <c r="G222" s="4" t="str">
        <f t="shared" si="3"/>
        <v>2024 Nov</v>
      </c>
    </row>
    <row r="223" spans="1:7">
      <c r="A223">
        <v>1222</v>
      </c>
      <c r="B223" t="s">
        <v>32</v>
      </c>
      <c r="C223" s="1">
        <v>45620</v>
      </c>
      <c r="D223" t="s">
        <v>33</v>
      </c>
      <c r="E223" t="s">
        <v>47</v>
      </c>
      <c r="F223" s="5">
        <v>311.93</v>
      </c>
      <c r="G223" s="4" t="str">
        <f t="shared" si="3"/>
        <v>2024 Nov</v>
      </c>
    </row>
    <row r="224" spans="1:7">
      <c r="A224">
        <v>1223</v>
      </c>
      <c r="B224" t="s">
        <v>25</v>
      </c>
      <c r="C224" s="1">
        <v>45621</v>
      </c>
      <c r="D224" t="s">
        <v>35</v>
      </c>
      <c r="E224" t="s">
        <v>16</v>
      </c>
      <c r="F224" s="5">
        <v>303.02999999999997</v>
      </c>
      <c r="G224" s="4" t="str">
        <f t="shared" si="3"/>
        <v>2024 Nov</v>
      </c>
    </row>
    <row r="225" spans="1:7">
      <c r="A225">
        <v>1224</v>
      </c>
      <c r="B225" t="s">
        <v>13</v>
      </c>
      <c r="C225" s="1">
        <v>45622</v>
      </c>
      <c r="D225" t="s">
        <v>29</v>
      </c>
      <c r="E225" t="s">
        <v>27</v>
      </c>
      <c r="F225" s="5">
        <v>174.22</v>
      </c>
      <c r="G225" s="4" t="str">
        <f t="shared" si="3"/>
        <v>2024 Nov</v>
      </c>
    </row>
    <row r="226" spans="1:7">
      <c r="A226">
        <v>1225</v>
      </c>
      <c r="B226" t="s">
        <v>22</v>
      </c>
      <c r="C226" s="1">
        <v>45623</v>
      </c>
      <c r="D226" t="s">
        <v>8</v>
      </c>
      <c r="E226" t="s">
        <v>20</v>
      </c>
      <c r="F226" s="5">
        <v>75.010000000000005</v>
      </c>
      <c r="G226" s="4" t="str">
        <f t="shared" si="3"/>
        <v>2024 Nov</v>
      </c>
    </row>
    <row r="227" spans="1:7">
      <c r="A227">
        <v>1226</v>
      </c>
      <c r="B227" t="s">
        <v>28</v>
      </c>
      <c r="C227" s="1">
        <v>45624</v>
      </c>
      <c r="D227" t="s">
        <v>11</v>
      </c>
      <c r="E227" t="s">
        <v>24</v>
      </c>
      <c r="F227" s="5">
        <v>144.16999999999999</v>
      </c>
      <c r="G227" s="4" t="str">
        <f t="shared" si="3"/>
        <v>2024 Nov</v>
      </c>
    </row>
    <row r="228" spans="1:7">
      <c r="A228">
        <v>1227</v>
      </c>
      <c r="B228" t="s">
        <v>32</v>
      </c>
      <c r="C228" s="1">
        <v>45625</v>
      </c>
      <c r="D228" t="s">
        <v>29</v>
      </c>
      <c r="E228" t="s">
        <v>31</v>
      </c>
      <c r="F228" s="5">
        <v>190.02</v>
      </c>
      <c r="G228" s="4" t="str">
        <f t="shared" si="3"/>
        <v>2024 Nov</v>
      </c>
    </row>
    <row r="229" spans="1:7">
      <c r="A229">
        <v>1228</v>
      </c>
      <c r="B229" t="s">
        <v>49</v>
      </c>
      <c r="C229" s="1">
        <v>45626</v>
      </c>
      <c r="D229" t="s">
        <v>14</v>
      </c>
      <c r="E229" t="s">
        <v>31</v>
      </c>
      <c r="F229" s="5">
        <v>158.30000000000001</v>
      </c>
      <c r="G229" s="4" t="str">
        <f t="shared" si="3"/>
        <v>2024 Nov</v>
      </c>
    </row>
    <row r="230" spans="1:7">
      <c r="A230">
        <v>1229</v>
      </c>
      <c r="B230" t="s">
        <v>19</v>
      </c>
      <c r="C230" s="1">
        <v>45627</v>
      </c>
      <c r="D230" t="s">
        <v>23</v>
      </c>
      <c r="E230" t="s">
        <v>16</v>
      </c>
      <c r="F230" s="5">
        <v>335.71</v>
      </c>
      <c r="G230" s="4" t="str">
        <f t="shared" si="3"/>
        <v>2024 Dec</v>
      </c>
    </row>
    <row r="231" spans="1:7">
      <c r="A231">
        <v>1230</v>
      </c>
      <c r="B231" t="s">
        <v>19</v>
      </c>
      <c r="C231" s="1">
        <v>45628</v>
      </c>
      <c r="D231" t="s">
        <v>40</v>
      </c>
      <c r="E231" t="s">
        <v>16</v>
      </c>
      <c r="F231" s="5">
        <v>470.04</v>
      </c>
      <c r="G231" s="4" t="str">
        <f t="shared" si="3"/>
        <v>2024 Dec</v>
      </c>
    </row>
    <row r="232" spans="1:7">
      <c r="A232">
        <v>1231</v>
      </c>
      <c r="B232" t="s">
        <v>48</v>
      </c>
      <c r="C232" s="1">
        <v>45629</v>
      </c>
      <c r="D232" t="s">
        <v>40</v>
      </c>
      <c r="E232" t="s">
        <v>46</v>
      </c>
      <c r="F232" s="5">
        <v>423.96</v>
      </c>
      <c r="G232" s="4" t="str">
        <f t="shared" si="3"/>
        <v>2024 Dec</v>
      </c>
    </row>
    <row r="233" spans="1:7">
      <c r="A233">
        <v>1232</v>
      </c>
      <c r="B233" t="s">
        <v>44</v>
      </c>
      <c r="C233" s="1">
        <v>45630</v>
      </c>
      <c r="D233" t="s">
        <v>35</v>
      </c>
      <c r="E233" t="s">
        <v>16</v>
      </c>
      <c r="F233" s="5">
        <v>164.67</v>
      </c>
      <c r="G233" s="4" t="str">
        <f t="shared" si="3"/>
        <v>2024 Dec</v>
      </c>
    </row>
    <row r="234" spans="1:7">
      <c r="A234">
        <v>1233</v>
      </c>
      <c r="B234" t="s">
        <v>49</v>
      </c>
      <c r="C234" s="1">
        <v>45631</v>
      </c>
      <c r="D234" t="s">
        <v>35</v>
      </c>
      <c r="E234" t="s">
        <v>9</v>
      </c>
      <c r="F234" s="5">
        <v>472.38</v>
      </c>
      <c r="G234" s="4" t="str">
        <f t="shared" si="3"/>
        <v>2024 Dec</v>
      </c>
    </row>
    <row r="235" spans="1:7">
      <c r="A235">
        <v>1234</v>
      </c>
      <c r="B235" t="s">
        <v>7</v>
      </c>
      <c r="C235" s="1">
        <v>45632</v>
      </c>
      <c r="D235" t="s">
        <v>11</v>
      </c>
      <c r="E235" t="s">
        <v>27</v>
      </c>
      <c r="F235" s="5">
        <v>295.25</v>
      </c>
      <c r="G235" s="4" t="str">
        <f t="shared" si="3"/>
        <v>2024 Dec</v>
      </c>
    </row>
    <row r="236" spans="1:7">
      <c r="A236">
        <v>1235</v>
      </c>
      <c r="B236" t="s">
        <v>7</v>
      </c>
      <c r="C236" s="1">
        <v>45633</v>
      </c>
      <c r="D236" t="s">
        <v>11</v>
      </c>
      <c r="E236" t="s">
        <v>9</v>
      </c>
      <c r="F236" s="5">
        <v>142.03</v>
      </c>
      <c r="G236" s="4" t="str">
        <f t="shared" si="3"/>
        <v>2024 Dec</v>
      </c>
    </row>
    <row r="237" spans="1:7">
      <c r="A237">
        <v>1236</v>
      </c>
      <c r="B237" t="s">
        <v>17</v>
      </c>
      <c r="C237" s="1">
        <v>45634</v>
      </c>
      <c r="D237" t="s">
        <v>26</v>
      </c>
      <c r="E237" t="s">
        <v>24</v>
      </c>
      <c r="F237" s="5">
        <v>116.49</v>
      </c>
      <c r="G237" s="4" t="str">
        <f t="shared" si="3"/>
        <v>2024 Dec</v>
      </c>
    </row>
    <row r="238" spans="1:7">
      <c r="A238">
        <v>1237</v>
      </c>
      <c r="B238" t="s">
        <v>25</v>
      </c>
      <c r="C238" s="1">
        <v>45635</v>
      </c>
      <c r="D238" t="s">
        <v>33</v>
      </c>
      <c r="E238" t="s">
        <v>9</v>
      </c>
      <c r="F238" s="5">
        <v>232.76</v>
      </c>
      <c r="G238" s="4" t="str">
        <f t="shared" si="3"/>
        <v>2024 Dec</v>
      </c>
    </row>
    <row r="239" spans="1:7">
      <c r="A239">
        <v>1238</v>
      </c>
      <c r="B239" t="s">
        <v>45</v>
      </c>
      <c r="C239" s="1">
        <v>45636</v>
      </c>
      <c r="D239" t="s">
        <v>34</v>
      </c>
      <c r="E239" t="s">
        <v>18</v>
      </c>
      <c r="F239" s="5">
        <v>490.81</v>
      </c>
      <c r="G239" s="4" t="str">
        <f t="shared" si="3"/>
        <v>2024 Dec</v>
      </c>
    </row>
    <row r="240" spans="1:7">
      <c r="A240">
        <v>1239</v>
      </c>
      <c r="B240" t="s">
        <v>19</v>
      </c>
      <c r="C240" s="1">
        <v>45637</v>
      </c>
      <c r="D240" t="s">
        <v>8</v>
      </c>
      <c r="E240" t="s">
        <v>27</v>
      </c>
      <c r="F240" s="5">
        <v>406.08</v>
      </c>
      <c r="G240" s="4" t="str">
        <f t="shared" si="3"/>
        <v>2024 Dec</v>
      </c>
    </row>
    <row r="241" spans="1:7">
      <c r="A241">
        <v>1240</v>
      </c>
      <c r="B241" t="s">
        <v>39</v>
      </c>
      <c r="C241" s="1">
        <v>45638</v>
      </c>
      <c r="D241" t="s">
        <v>8</v>
      </c>
      <c r="E241" t="s">
        <v>9</v>
      </c>
      <c r="F241" s="5">
        <v>114.57</v>
      </c>
      <c r="G241" s="4" t="str">
        <f t="shared" si="3"/>
        <v>2024 Dec</v>
      </c>
    </row>
    <row r="242" spans="1:7">
      <c r="A242">
        <v>1241</v>
      </c>
      <c r="B242" t="s">
        <v>43</v>
      </c>
      <c r="C242" s="1">
        <v>45639</v>
      </c>
      <c r="D242" t="s">
        <v>11</v>
      </c>
      <c r="E242" t="s">
        <v>47</v>
      </c>
      <c r="F242" s="5">
        <v>270.54000000000002</v>
      </c>
      <c r="G242" s="4" t="str">
        <f t="shared" si="3"/>
        <v>2024 Dec</v>
      </c>
    </row>
    <row r="243" spans="1:7">
      <c r="A243">
        <v>1242</v>
      </c>
      <c r="B243" t="s">
        <v>19</v>
      </c>
      <c r="C243" s="1">
        <v>45640</v>
      </c>
      <c r="D243" t="s">
        <v>23</v>
      </c>
      <c r="E243" t="s">
        <v>47</v>
      </c>
      <c r="F243" s="5">
        <v>300.01</v>
      </c>
      <c r="G243" s="4" t="str">
        <f t="shared" si="3"/>
        <v>2024 Dec</v>
      </c>
    </row>
    <row r="244" spans="1:7">
      <c r="A244">
        <v>1243</v>
      </c>
      <c r="B244" t="s">
        <v>17</v>
      </c>
      <c r="C244" s="1">
        <v>45641</v>
      </c>
      <c r="D244" t="s">
        <v>26</v>
      </c>
      <c r="E244" t="s">
        <v>47</v>
      </c>
      <c r="F244" s="5">
        <v>314.91000000000003</v>
      </c>
      <c r="G244" s="4" t="str">
        <f t="shared" si="3"/>
        <v>2024 Dec</v>
      </c>
    </row>
    <row r="245" spans="1:7">
      <c r="A245">
        <v>1244</v>
      </c>
      <c r="B245" t="s">
        <v>10</v>
      </c>
      <c r="C245" s="1">
        <v>45642</v>
      </c>
      <c r="D245" t="s">
        <v>23</v>
      </c>
      <c r="E245" t="s">
        <v>20</v>
      </c>
      <c r="F245" s="5">
        <v>125.61</v>
      </c>
      <c r="G245" s="4" t="str">
        <f t="shared" si="3"/>
        <v>2024 Dec</v>
      </c>
    </row>
    <row r="246" spans="1:7">
      <c r="A246">
        <v>1245</v>
      </c>
      <c r="B246" t="s">
        <v>17</v>
      </c>
      <c r="C246" s="1">
        <v>45643</v>
      </c>
      <c r="D246" t="s">
        <v>29</v>
      </c>
      <c r="E246" t="s">
        <v>24</v>
      </c>
      <c r="F246" s="5">
        <v>440.56</v>
      </c>
      <c r="G246" s="4" t="str">
        <f t="shared" si="3"/>
        <v>2024 Dec</v>
      </c>
    </row>
    <row r="247" spans="1:7">
      <c r="A247">
        <v>1246</v>
      </c>
      <c r="B247" t="s">
        <v>37</v>
      </c>
      <c r="C247" s="1">
        <v>45644</v>
      </c>
      <c r="D247" t="s">
        <v>34</v>
      </c>
      <c r="E247" t="s">
        <v>27</v>
      </c>
      <c r="F247" s="5">
        <v>190.27</v>
      </c>
      <c r="G247" s="4" t="str">
        <f t="shared" si="3"/>
        <v>2024 Dec</v>
      </c>
    </row>
    <row r="248" spans="1:7">
      <c r="A248">
        <v>1247</v>
      </c>
      <c r="B248" t="s">
        <v>32</v>
      </c>
      <c r="C248" s="1">
        <v>45645</v>
      </c>
      <c r="D248" t="s">
        <v>35</v>
      </c>
      <c r="E248" t="s">
        <v>27</v>
      </c>
      <c r="F248" s="5">
        <v>327.04000000000002</v>
      </c>
      <c r="G248" s="4" t="str">
        <f t="shared" si="3"/>
        <v>2024 Dec</v>
      </c>
    </row>
    <row r="249" spans="1:7">
      <c r="A249">
        <v>1248</v>
      </c>
      <c r="B249" t="s">
        <v>48</v>
      </c>
      <c r="C249" s="1">
        <v>45646</v>
      </c>
      <c r="D249" t="s">
        <v>11</v>
      </c>
      <c r="E249" t="s">
        <v>16</v>
      </c>
      <c r="F249" s="5">
        <v>439.04</v>
      </c>
      <c r="G249" s="4" t="str">
        <f t="shared" si="3"/>
        <v>2024 Dec</v>
      </c>
    </row>
    <row r="250" spans="1:7">
      <c r="A250">
        <v>1249</v>
      </c>
      <c r="B250" t="s">
        <v>19</v>
      </c>
      <c r="C250" s="1">
        <v>45647</v>
      </c>
      <c r="D250" t="s">
        <v>33</v>
      </c>
      <c r="E250" t="s">
        <v>47</v>
      </c>
      <c r="F250" s="5">
        <v>43.19</v>
      </c>
      <c r="G250" s="4" t="str">
        <f t="shared" si="3"/>
        <v>2024 Dec</v>
      </c>
    </row>
    <row r="251" spans="1:7">
      <c r="A251">
        <v>1250</v>
      </c>
      <c r="B251" t="s">
        <v>28</v>
      </c>
      <c r="C251" s="1">
        <v>45648</v>
      </c>
      <c r="D251" t="s">
        <v>26</v>
      </c>
      <c r="E251" t="s">
        <v>27</v>
      </c>
      <c r="F251" s="5">
        <v>206.89</v>
      </c>
      <c r="G251" s="4" t="str">
        <f t="shared" si="3"/>
        <v>2024 Dec</v>
      </c>
    </row>
    <row r="252" spans="1:7">
      <c r="A252">
        <v>1251</v>
      </c>
      <c r="B252" t="s">
        <v>19</v>
      </c>
      <c r="C252" s="1">
        <v>45649</v>
      </c>
      <c r="D252" t="s">
        <v>14</v>
      </c>
      <c r="E252" t="s">
        <v>9</v>
      </c>
      <c r="F252" s="5">
        <v>306.68</v>
      </c>
      <c r="G252" s="4" t="str">
        <f t="shared" si="3"/>
        <v>2024 Dec</v>
      </c>
    </row>
    <row r="253" spans="1:7">
      <c r="A253">
        <v>1252</v>
      </c>
      <c r="B253" t="s">
        <v>7</v>
      </c>
      <c r="C253" s="1">
        <v>45650</v>
      </c>
      <c r="D253" t="s">
        <v>14</v>
      </c>
      <c r="E253" t="s">
        <v>20</v>
      </c>
      <c r="F253" s="5">
        <v>103.92</v>
      </c>
      <c r="G253" s="4" t="str">
        <f t="shared" si="3"/>
        <v>2024 Dec</v>
      </c>
    </row>
    <row r="254" spans="1:7">
      <c r="A254">
        <v>1253</v>
      </c>
      <c r="B254" t="s">
        <v>45</v>
      </c>
      <c r="C254" s="1">
        <v>45651</v>
      </c>
      <c r="D254" t="s">
        <v>26</v>
      </c>
      <c r="E254" t="s">
        <v>16</v>
      </c>
      <c r="F254" s="5">
        <v>440.75</v>
      </c>
      <c r="G254" s="4" t="str">
        <f t="shared" si="3"/>
        <v>2024 Dec</v>
      </c>
    </row>
    <row r="255" spans="1:7">
      <c r="A255">
        <v>1254</v>
      </c>
      <c r="B255" t="s">
        <v>36</v>
      </c>
      <c r="C255" s="1">
        <v>45652</v>
      </c>
      <c r="D255" t="s">
        <v>35</v>
      </c>
      <c r="E255" t="s">
        <v>47</v>
      </c>
      <c r="F255" s="5">
        <v>215.91</v>
      </c>
      <c r="G255" s="4" t="str">
        <f t="shared" si="3"/>
        <v>2024 Dec</v>
      </c>
    </row>
    <row r="256" spans="1:7">
      <c r="A256">
        <v>1255</v>
      </c>
      <c r="B256" t="s">
        <v>13</v>
      </c>
      <c r="C256" s="1">
        <v>45653</v>
      </c>
      <c r="D256" t="s">
        <v>40</v>
      </c>
      <c r="E256" t="s">
        <v>47</v>
      </c>
      <c r="F256" s="5">
        <v>125.13</v>
      </c>
      <c r="G256" s="4" t="str">
        <f t="shared" si="3"/>
        <v>2024 Dec</v>
      </c>
    </row>
    <row r="257" spans="1:7">
      <c r="A257">
        <v>1256</v>
      </c>
      <c r="B257" t="s">
        <v>7</v>
      </c>
      <c r="C257" s="1">
        <v>45654</v>
      </c>
      <c r="D257" t="s">
        <v>14</v>
      </c>
      <c r="E257" t="s">
        <v>16</v>
      </c>
      <c r="F257" s="5">
        <v>194.44</v>
      </c>
      <c r="G257" s="4" t="str">
        <f t="shared" si="3"/>
        <v>2024 Dec</v>
      </c>
    </row>
    <row r="258" spans="1:7">
      <c r="A258">
        <v>1257</v>
      </c>
      <c r="B258" t="s">
        <v>21</v>
      </c>
      <c r="C258" s="1">
        <v>45655</v>
      </c>
      <c r="D258" t="s">
        <v>34</v>
      </c>
      <c r="E258" t="s">
        <v>18</v>
      </c>
      <c r="F258" s="5">
        <v>412.39</v>
      </c>
      <c r="G258" s="4" t="str">
        <f t="shared" ref="G258:G321" si="4">TEXT(C258,"yyyy mmm")</f>
        <v>2024 Dec</v>
      </c>
    </row>
    <row r="259" spans="1:7">
      <c r="A259">
        <v>1258</v>
      </c>
      <c r="B259" t="s">
        <v>49</v>
      </c>
      <c r="C259" s="1">
        <v>45656</v>
      </c>
      <c r="D259" t="s">
        <v>35</v>
      </c>
      <c r="E259" t="s">
        <v>18</v>
      </c>
      <c r="F259" s="5">
        <v>213.72</v>
      </c>
      <c r="G259" s="4" t="str">
        <f t="shared" si="4"/>
        <v>2024 Dec</v>
      </c>
    </row>
    <row r="260" spans="1:7">
      <c r="A260">
        <v>1259</v>
      </c>
      <c r="B260" t="s">
        <v>44</v>
      </c>
      <c r="C260" s="1">
        <v>45657</v>
      </c>
      <c r="D260" t="s">
        <v>40</v>
      </c>
      <c r="E260" t="s">
        <v>12</v>
      </c>
      <c r="F260" s="5">
        <v>364.45</v>
      </c>
      <c r="G260" s="4" t="str">
        <f t="shared" si="4"/>
        <v>2024 Dec</v>
      </c>
    </row>
    <row r="261" spans="1:7">
      <c r="A261">
        <v>1260</v>
      </c>
      <c r="B261" t="s">
        <v>21</v>
      </c>
      <c r="C261" s="1">
        <v>45658</v>
      </c>
      <c r="D261" t="s">
        <v>30</v>
      </c>
      <c r="E261" t="s">
        <v>12</v>
      </c>
      <c r="F261" s="5">
        <v>93.89</v>
      </c>
      <c r="G261" s="4" t="str">
        <f t="shared" si="4"/>
        <v>2025 Jan</v>
      </c>
    </row>
    <row r="262" spans="1:7">
      <c r="A262">
        <v>1261</v>
      </c>
      <c r="B262" t="s">
        <v>15</v>
      </c>
      <c r="C262" s="1">
        <v>45659</v>
      </c>
      <c r="D262" t="s">
        <v>38</v>
      </c>
      <c r="E262" t="s">
        <v>27</v>
      </c>
      <c r="F262" s="5">
        <v>33.22</v>
      </c>
      <c r="G262" s="4" t="str">
        <f t="shared" si="4"/>
        <v>2025 Jan</v>
      </c>
    </row>
    <row r="263" spans="1:7">
      <c r="A263">
        <v>1262</v>
      </c>
      <c r="B263" t="s">
        <v>39</v>
      </c>
      <c r="C263" s="1">
        <v>45660</v>
      </c>
      <c r="D263" t="s">
        <v>11</v>
      </c>
      <c r="E263" t="s">
        <v>12</v>
      </c>
      <c r="F263" s="5">
        <v>320.98</v>
      </c>
      <c r="G263" s="4" t="str">
        <f t="shared" si="4"/>
        <v>2025 Jan</v>
      </c>
    </row>
    <row r="264" spans="1:7">
      <c r="A264">
        <v>1263</v>
      </c>
      <c r="B264" t="s">
        <v>17</v>
      </c>
      <c r="C264" s="1">
        <v>45661</v>
      </c>
      <c r="D264" t="s">
        <v>40</v>
      </c>
      <c r="E264" t="s">
        <v>20</v>
      </c>
      <c r="F264" s="5">
        <v>394.51</v>
      </c>
      <c r="G264" s="4" t="str">
        <f t="shared" si="4"/>
        <v>2025 Jan</v>
      </c>
    </row>
    <row r="265" spans="1:7">
      <c r="A265">
        <v>1264</v>
      </c>
      <c r="B265" t="s">
        <v>49</v>
      </c>
      <c r="C265" s="1">
        <v>45662</v>
      </c>
      <c r="D265" t="s">
        <v>14</v>
      </c>
      <c r="E265" t="s">
        <v>16</v>
      </c>
      <c r="F265" s="5">
        <v>230.56</v>
      </c>
      <c r="G265" s="4" t="str">
        <f t="shared" si="4"/>
        <v>2025 Jan</v>
      </c>
    </row>
    <row r="266" spans="1:7">
      <c r="A266">
        <v>1265</v>
      </c>
      <c r="B266" t="s">
        <v>44</v>
      </c>
      <c r="C266" s="1">
        <v>45663</v>
      </c>
      <c r="D266" t="s">
        <v>23</v>
      </c>
      <c r="E266" t="s">
        <v>18</v>
      </c>
      <c r="F266" s="5">
        <v>135.84</v>
      </c>
      <c r="G266" s="4" t="str">
        <f t="shared" si="4"/>
        <v>2025 Jan</v>
      </c>
    </row>
    <row r="267" spans="1:7">
      <c r="A267">
        <v>1266</v>
      </c>
      <c r="B267" t="s">
        <v>49</v>
      </c>
      <c r="C267" s="1">
        <v>45664</v>
      </c>
      <c r="D267" t="s">
        <v>30</v>
      </c>
      <c r="E267" t="s">
        <v>20</v>
      </c>
      <c r="F267" s="5">
        <v>199.74</v>
      </c>
      <c r="G267" s="4" t="str">
        <f t="shared" si="4"/>
        <v>2025 Jan</v>
      </c>
    </row>
    <row r="268" spans="1:7">
      <c r="A268">
        <v>1267</v>
      </c>
      <c r="B268" t="s">
        <v>25</v>
      </c>
      <c r="C268" s="1">
        <v>45665</v>
      </c>
      <c r="D268" t="s">
        <v>35</v>
      </c>
      <c r="E268" t="s">
        <v>46</v>
      </c>
      <c r="F268" s="5">
        <v>155.38999999999999</v>
      </c>
      <c r="G268" s="4" t="str">
        <f t="shared" si="4"/>
        <v>2025 Jan</v>
      </c>
    </row>
    <row r="269" spans="1:7">
      <c r="A269">
        <v>1268</v>
      </c>
      <c r="B269" t="s">
        <v>19</v>
      </c>
      <c r="C269" s="1">
        <v>45666</v>
      </c>
      <c r="D269" t="s">
        <v>29</v>
      </c>
      <c r="E269" t="s">
        <v>47</v>
      </c>
      <c r="F269" s="5">
        <v>52.71</v>
      </c>
      <c r="G269" s="4" t="str">
        <f t="shared" si="4"/>
        <v>2025 Jan</v>
      </c>
    </row>
    <row r="270" spans="1:7">
      <c r="A270">
        <v>1269</v>
      </c>
      <c r="B270" t="s">
        <v>32</v>
      </c>
      <c r="C270" s="1">
        <v>45667</v>
      </c>
      <c r="D270" t="s">
        <v>29</v>
      </c>
      <c r="E270" t="s">
        <v>24</v>
      </c>
      <c r="F270" s="5">
        <v>386.04</v>
      </c>
      <c r="G270" s="4" t="str">
        <f t="shared" si="4"/>
        <v>2025 Jan</v>
      </c>
    </row>
    <row r="271" spans="1:7">
      <c r="A271">
        <v>1270</v>
      </c>
      <c r="B271" t="s">
        <v>45</v>
      </c>
      <c r="C271" s="1">
        <v>45668</v>
      </c>
      <c r="D271" t="s">
        <v>35</v>
      </c>
      <c r="E271" t="s">
        <v>12</v>
      </c>
      <c r="F271" s="5">
        <v>441</v>
      </c>
      <c r="G271" s="4" t="str">
        <f t="shared" si="4"/>
        <v>2025 Jan</v>
      </c>
    </row>
    <row r="272" spans="1:7">
      <c r="A272">
        <v>1271</v>
      </c>
      <c r="B272" t="s">
        <v>19</v>
      </c>
      <c r="C272" s="1">
        <v>45669</v>
      </c>
      <c r="D272" t="s">
        <v>11</v>
      </c>
      <c r="E272" t="s">
        <v>20</v>
      </c>
      <c r="F272" s="5">
        <v>83.91</v>
      </c>
      <c r="G272" s="4" t="str">
        <f t="shared" si="4"/>
        <v>2025 Jan</v>
      </c>
    </row>
    <row r="273" spans="1:7">
      <c r="A273">
        <v>1272</v>
      </c>
      <c r="B273" t="s">
        <v>25</v>
      </c>
      <c r="C273" s="1">
        <v>45670</v>
      </c>
      <c r="D273" t="s">
        <v>33</v>
      </c>
      <c r="E273" t="s">
        <v>18</v>
      </c>
      <c r="F273" s="5">
        <v>454.82</v>
      </c>
      <c r="G273" s="4" t="str">
        <f t="shared" si="4"/>
        <v>2025 Jan</v>
      </c>
    </row>
    <row r="274" spans="1:7">
      <c r="A274">
        <v>1273</v>
      </c>
      <c r="B274" t="s">
        <v>21</v>
      </c>
      <c r="C274" s="1">
        <v>45671</v>
      </c>
      <c r="D274" t="s">
        <v>8</v>
      </c>
      <c r="E274" t="s">
        <v>16</v>
      </c>
      <c r="F274" s="5">
        <v>316.36</v>
      </c>
      <c r="G274" s="4" t="str">
        <f t="shared" si="4"/>
        <v>2025 Jan</v>
      </c>
    </row>
    <row r="275" spans="1:7">
      <c r="A275">
        <v>1274</v>
      </c>
      <c r="B275" t="s">
        <v>22</v>
      </c>
      <c r="C275" s="1">
        <v>45672</v>
      </c>
      <c r="D275" t="s">
        <v>26</v>
      </c>
      <c r="E275" t="s">
        <v>12</v>
      </c>
      <c r="F275" s="5">
        <v>488.6</v>
      </c>
      <c r="G275" s="4" t="str">
        <f t="shared" si="4"/>
        <v>2025 Jan</v>
      </c>
    </row>
    <row r="276" spans="1:7">
      <c r="A276">
        <v>1275</v>
      </c>
      <c r="B276" t="s">
        <v>15</v>
      </c>
      <c r="C276" s="1">
        <v>45673</v>
      </c>
      <c r="D276" t="s">
        <v>35</v>
      </c>
      <c r="E276" t="s">
        <v>20</v>
      </c>
      <c r="F276" s="5">
        <v>200.6</v>
      </c>
      <c r="G276" s="4" t="str">
        <f t="shared" si="4"/>
        <v>2025 Jan</v>
      </c>
    </row>
    <row r="277" spans="1:7">
      <c r="A277">
        <v>1276</v>
      </c>
      <c r="B277" t="s">
        <v>41</v>
      </c>
      <c r="C277" s="1">
        <v>45674</v>
      </c>
      <c r="D277" t="s">
        <v>38</v>
      </c>
      <c r="E277" t="s">
        <v>16</v>
      </c>
      <c r="F277" s="5">
        <v>283.93</v>
      </c>
      <c r="G277" s="4" t="str">
        <f t="shared" si="4"/>
        <v>2025 Jan</v>
      </c>
    </row>
    <row r="278" spans="1:7">
      <c r="A278">
        <v>1277</v>
      </c>
      <c r="B278" t="s">
        <v>39</v>
      </c>
      <c r="C278" s="1">
        <v>45675</v>
      </c>
      <c r="D278" t="s">
        <v>14</v>
      </c>
      <c r="E278" t="s">
        <v>20</v>
      </c>
      <c r="F278" s="5">
        <v>496.49</v>
      </c>
      <c r="G278" s="4" t="str">
        <f t="shared" si="4"/>
        <v>2025 Jan</v>
      </c>
    </row>
    <row r="279" spans="1:7">
      <c r="A279">
        <v>1278</v>
      </c>
      <c r="B279" t="s">
        <v>13</v>
      </c>
      <c r="C279" s="1">
        <v>45676</v>
      </c>
      <c r="D279" t="s">
        <v>14</v>
      </c>
      <c r="E279" t="s">
        <v>20</v>
      </c>
      <c r="F279" s="5">
        <v>453.87</v>
      </c>
      <c r="G279" s="4" t="str">
        <f t="shared" si="4"/>
        <v>2025 Jan</v>
      </c>
    </row>
    <row r="280" spans="1:7">
      <c r="A280">
        <v>1279</v>
      </c>
      <c r="B280" t="s">
        <v>25</v>
      </c>
      <c r="C280" s="1">
        <v>45677</v>
      </c>
      <c r="D280" t="s">
        <v>33</v>
      </c>
      <c r="E280" t="s">
        <v>27</v>
      </c>
      <c r="F280" s="5">
        <v>336.97</v>
      </c>
      <c r="G280" s="4" t="str">
        <f t="shared" si="4"/>
        <v>2025 Jan</v>
      </c>
    </row>
    <row r="281" spans="1:7">
      <c r="A281">
        <v>1280</v>
      </c>
      <c r="B281" t="s">
        <v>43</v>
      </c>
      <c r="C281" s="1">
        <v>45678</v>
      </c>
      <c r="D281" t="s">
        <v>35</v>
      </c>
      <c r="E281" t="s">
        <v>20</v>
      </c>
      <c r="F281" s="5">
        <v>257.8</v>
      </c>
      <c r="G281" s="4" t="str">
        <f t="shared" si="4"/>
        <v>2025 Jan</v>
      </c>
    </row>
    <row r="282" spans="1:7">
      <c r="A282">
        <v>1281</v>
      </c>
      <c r="B282" t="s">
        <v>10</v>
      </c>
      <c r="C282" s="1">
        <v>45679</v>
      </c>
      <c r="D282" t="s">
        <v>35</v>
      </c>
      <c r="E282" t="s">
        <v>16</v>
      </c>
      <c r="F282" s="5">
        <v>192.19</v>
      </c>
      <c r="G282" s="4" t="str">
        <f t="shared" si="4"/>
        <v>2025 Jan</v>
      </c>
    </row>
    <row r="283" spans="1:7">
      <c r="A283">
        <v>1282</v>
      </c>
      <c r="B283" t="s">
        <v>25</v>
      </c>
      <c r="C283" s="1">
        <v>45680</v>
      </c>
      <c r="D283" t="s">
        <v>33</v>
      </c>
      <c r="E283" t="s">
        <v>18</v>
      </c>
      <c r="F283" s="5">
        <v>475.69</v>
      </c>
      <c r="G283" s="4" t="str">
        <f t="shared" si="4"/>
        <v>2025 Jan</v>
      </c>
    </row>
    <row r="284" spans="1:7">
      <c r="A284">
        <v>1283</v>
      </c>
      <c r="B284" t="s">
        <v>36</v>
      </c>
      <c r="C284" s="1">
        <v>45681</v>
      </c>
      <c r="D284" t="s">
        <v>38</v>
      </c>
      <c r="E284" t="s">
        <v>42</v>
      </c>
      <c r="F284" s="5">
        <v>369.99</v>
      </c>
      <c r="G284" s="4" t="str">
        <f t="shared" si="4"/>
        <v>2025 Jan</v>
      </c>
    </row>
    <row r="285" spans="1:7">
      <c r="A285">
        <v>1284</v>
      </c>
      <c r="B285" t="s">
        <v>19</v>
      </c>
      <c r="C285" s="1">
        <v>45682</v>
      </c>
      <c r="D285" t="s">
        <v>8</v>
      </c>
      <c r="E285" t="s">
        <v>42</v>
      </c>
      <c r="F285" s="5">
        <v>425.21</v>
      </c>
      <c r="G285" s="4" t="str">
        <f t="shared" si="4"/>
        <v>2025 Jan</v>
      </c>
    </row>
    <row r="286" spans="1:7">
      <c r="A286">
        <v>1285</v>
      </c>
      <c r="B286" t="s">
        <v>7</v>
      </c>
      <c r="C286" s="1">
        <v>45683</v>
      </c>
      <c r="D286" t="s">
        <v>23</v>
      </c>
      <c r="E286" t="s">
        <v>18</v>
      </c>
      <c r="F286" s="5">
        <v>428.08</v>
      </c>
      <c r="G286" s="4" t="str">
        <f t="shared" si="4"/>
        <v>2025 Jan</v>
      </c>
    </row>
    <row r="287" spans="1:7">
      <c r="A287">
        <v>1286</v>
      </c>
      <c r="B287" t="s">
        <v>13</v>
      </c>
      <c r="C287" s="1">
        <v>45684</v>
      </c>
      <c r="D287" t="s">
        <v>14</v>
      </c>
      <c r="E287" t="s">
        <v>9</v>
      </c>
      <c r="F287" s="5">
        <v>423.14</v>
      </c>
      <c r="G287" s="4" t="str">
        <f t="shared" si="4"/>
        <v>2025 Jan</v>
      </c>
    </row>
    <row r="288" spans="1:7">
      <c r="A288">
        <v>1287</v>
      </c>
      <c r="B288" t="s">
        <v>32</v>
      </c>
      <c r="C288" s="1">
        <v>45685</v>
      </c>
      <c r="D288" t="s">
        <v>40</v>
      </c>
      <c r="E288" t="s">
        <v>27</v>
      </c>
      <c r="F288" s="5">
        <v>146</v>
      </c>
      <c r="G288" s="4" t="str">
        <f t="shared" si="4"/>
        <v>2025 Jan</v>
      </c>
    </row>
    <row r="289" spans="1:7">
      <c r="A289">
        <v>1288</v>
      </c>
      <c r="B289" t="s">
        <v>39</v>
      </c>
      <c r="C289" s="1">
        <v>45686</v>
      </c>
      <c r="D289" t="s">
        <v>26</v>
      </c>
      <c r="E289" t="s">
        <v>18</v>
      </c>
      <c r="F289" s="5">
        <v>358.12</v>
      </c>
      <c r="G289" s="4" t="str">
        <f t="shared" si="4"/>
        <v>2025 Jan</v>
      </c>
    </row>
    <row r="290" spans="1:7">
      <c r="A290">
        <v>1289</v>
      </c>
      <c r="B290" t="s">
        <v>49</v>
      </c>
      <c r="C290" s="1">
        <v>45687</v>
      </c>
      <c r="D290" t="s">
        <v>42</v>
      </c>
      <c r="E290" t="s">
        <v>42</v>
      </c>
      <c r="F290" s="5">
        <v>332.01</v>
      </c>
      <c r="G290" s="4" t="str">
        <f t="shared" si="4"/>
        <v>2025 Jan</v>
      </c>
    </row>
    <row r="291" spans="1:7">
      <c r="A291">
        <v>1290</v>
      </c>
      <c r="B291" t="s">
        <v>32</v>
      </c>
      <c r="C291" s="1">
        <v>45688</v>
      </c>
      <c r="D291" t="s">
        <v>30</v>
      </c>
      <c r="E291" t="s">
        <v>9</v>
      </c>
      <c r="F291" s="5">
        <v>274.22000000000003</v>
      </c>
      <c r="G291" s="4" t="str">
        <f t="shared" si="4"/>
        <v>2025 Jan</v>
      </c>
    </row>
    <row r="292" spans="1:7">
      <c r="A292">
        <v>1291</v>
      </c>
      <c r="B292" t="s">
        <v>25</v>
      </c>
      <c r="C292" s="1">
        <v>45689</v>
      </c>
      <c r="D292" t="s">
        <v>38</v>
      </c>
      <c r="E292" t="s">
        <v>18</v>
      </c>
      <c r="F292" s="5">
        <v>386.55</v>
      </c>
      <c r="G292" s="4" t="str">
        <f t="shared" si="4"/>
        <v>2025 Feb</v>
      </c>
    </row>
    <row r="293" spans="1:7">
      <c r="A293">
        <v>1292</v>
      </c>
      <c r="B293" t="s">
        <v>43</v>
      </c>
      <c r="C293" s="1">
        <v>45690</v>
      </c>
      <c r="D293" t="s">
        <v>14</v>
      </c>
      <c r="E293" t="s">
        <v>27</v>
      </c>
      <c r="F293" s="5">
        <v>337.3</v>
      </c>
      <c r="G293" s="4" t="str">
        <f t="shared" si="4"/>
        <v>2025 Feb</v>
      </c>
    </row>
    <row r="294" spans="1:7">
      <c r="A294">
        <v>1293</v>
      </c>
      <c r="B294" t="s">
        <v>28</v>
      </c>
      <c r="C294" s="1">
        <v>45691</v>
      </c>
      <c r="D294" t="s">
        <v>33</v>
      </c>
      <c r="E294" t="s">
        <v>27</v>
      </c>
      <c r="F294" s="5">
        <v>447.25</v>
      </c>
      <c r="G294" s="4" t="str">
        <f t="shared" si="4"/>
        <v>2025 Feb</v>
      </c>
    </row>
    <row r="295" spans="1:7">
      <c r="A295">
        <v>1294</v>
      </c>
      <c r="B295" t="s">
        <v>32</v>
      </c>
      <c r="C295" s="1">
        <v>45692</v>
      </c>
      <c r="D295" t="s">
        <v>23</v>
      </c>
      <c r="E295" t="s">
        <v>31</v>
      </c>
      <c r="F295" s="5">
        <v>81.069999999999993</v>
      </c>
      <c r="G295" s="4" t="str">
        <f t="shared" si="4"/>
        <v>2025 Feb</v>
      </c>
    </row>
    <row r="296" spans="1:7">
      <c r="A296">
        <v>1295</v>
      </c>
      <c r="B296" t="s">
        <v>45</v>
      </c>
      <c r="C296" s="1">
        <v>45693</v>
      </c>
      <c r="D296" t="s">
        <v>35</v>
      </c>
      <c r="E296" t="s">
        <v>18</v>
      </c>
      <c r="F296" s="5">
        <v>36.770000000000003</v>
      </c>
      <c r="G296" s="4" t="str">
        <f t="shared" si="4"/>
        <v>2025 Feb</v>
      </c>
    </row>
    <row r="297" spans="1:7">
      <c r="A297">
        <v>1296</v>
      </c>
      <c r="B297" t="s">
        <v>25</v>
      </c>
      <c r="C297" s="1">
        <v>45694</v>
      </c>
      <c r="D297" t="s">
        <v>29</v>
      </c>
      <c r="E297" t="s">
        <v>12</v>
      </c>
      <c r="F297" s="5">
        <v>401.22</v>
      </c>
      <c r="G297" s="4" t="str">
        <f t="shared" si="4"/>
        <v>2025 Feb</v>
      </c>
    </row>
    <row r="298" spans="1:7">
      <c r="A298">
        <v>1297</v>
      </c>
      <c r="B298" t="s">
        <v>21</v>
      </c>
      <c r="C298" s="1">
        <v>45695</v>
      </c>
      <c r="D298" t="s">
        <v>14</v>
      </c>
      <c r="E298" t="s">
        <v>9</v>
      </c>
      <c r="F298" s="5">
        <v>131.13</v>
      </c>
      <c r="G298" s="4" t="str">
        <f t="shared" si="4"/>
        <v>2025 Feb</v>
      </c>
    </row>
    <row r="299" spans="1:7">
      <c r="A299">
        <v>1298</v>
      </c>
      <c r="B299" t="s">
        <v>22</v>
      </c>
      <c r="C299" s="1">
        <v>45696</v>
      </c>
      <c r="D299" t="s">
        <v>14</v>
      </c>
      <c r="E299" t="s">
        <v>16</v>
      </c>
      <c r="F299" s="5">
        <v>105.31</v>
      </c>
      <c r="G299" s="4" t="str">
        <f t="shared" si="4"/>
        <v>2025 Feb</v>
      </c>
    </row>
    <row r="300" spans="1:7">
      <c r="A300">
        <v>1299</v>
      </c>
      <c r="B300" t="s">
        <v>49</v>
      </c>
      <c r="C300" s="1">
        <v>45697</v>
      </c>
      <c r="D300" t="s">
        <v>30</v>
      </c>
      <c r="E300" t="s">
        <v>18</v>
      </c>
      <c r="F300" s="5">
        <v>260.95999999999998</v>
      </c>
      <c r="G300" s="4" t="str">
        <f t="shared" si="4"/>
        <v>2025 Feb</v>
      </c>
    </row>
    <row r="301" spans="1:7">
      <c r="A301">
        <v>1300</v>
      </c>
      <c r="B301" t="s">
        <v>7</v>
      </c>
      <c r="C301" s="1">
        <v>45698</v>
      </c>
      <c r="D301" t="s">
        <v>33</v>
      </c>
      <c r="E301" t="s">
        <v>31</v>
      </c>
      <c r="F301" s="5">
        <v>104.89</v>
      </c>
      <c r="G301" s="4" t="str">
        <f t="shared" si="4"/>
        <v>2025 Feb</v>
      </c>
    </row>
    <row r="302" spans="1:7">
      <c r="A302">
        <v>1301</v>
      </c>
      <c r="B302" t="s">
        <v>44</v>
      </c>
      <c r="C302" s="1">
        <v>45699</v>
      </c>
      <c r="D302" t="s">
        <v>38</v>
      </c>
      <c r="E302" t="s">
        <v>9</v>
      </c>
      <c r="F302" s="5">
        <v>102.04</v>
      </c>
      <c r="G302" s="4" t="str">
        <f t="shared" si="4"/>
        <v>2025 Feb</v>
      </c>
    </row>
    <row r="303" spans="1:7">
      <c r="A303">
        <v>1302</v>
      </c>
      <c r="B303" t="s">
        <v>37</v>
      </c>
      <c r="C303" s="1">
        <v>45700</v>
      </c>
      <c r="D303" t="s">
        <v>29</v>
      </c>
      <c r="E303" t="s">
        <v>47</v>
      </c>
      <c r="F303" s="5">
        <v>280.44</v>
      </c>
      <c r="G303" s="4" t="str">
        <f t="shared" si="4"/>
        <v>2025 Feb</v>
      </c>
    </row>
    <row r="304" spans="1:7">
      <c r="A304">
        <v>1303</v>
      </c>
      <c r="B304" t="s">
        <v>25</v>
      </c>
      <c r="C304" s="1">
        <v>45701</v>
      </c>
      <c r="D304" t="s">
        <v>23</v>
      </c>
      <c r="E304" t="s">
        <v>46</v>
      </c>
      <c r="F304" s="5">
        <v>406.9</v>
      </c>
      <c r="G304" s="4" t="str">
        <f t="shared" si="4"/>
        <v>2025 Feb</v>
      </c>
    </row>
    <row r="305" spans="1:7">
      <c r="A305">
        <v>1304</v>
      </c>
      <c r="B305" t="s">
        <v>41</v>
      </c>
      <c r="C305" s="1">
        <v>45702</v>
      </c>
      <c r="D305" t="s">
        <v>38</v>
      </c>
      <c r="E305" t="s">
        <v>27</v>
      </c>
      <c r="F305" s="5">
        <v>37.25</v>
      </c>
      <c r="G305" s="4" t="str">
        <f t="shared" si="4"/>
        <v>2025 Feb</v>
      </c>
    </row>
    <row r="306" spans="1:7">
      <c r="A306">
        <v>1305</v>
      </c>
      <c r="B306" t="s">
        <v>10</v>
      </c>
      <c r="C306" s="1">
        <v>45703</v>
      </c>
      <c r="D306" t="s">
        <v>38</v>
      </c>
      <c r="E306" t="s">
        <v>9</v>
      </c>
      <c r="F306" s="5">
        <v>61.13</v>
      </c>
      <c r="G306" s="4" t="str">
        <f t="shared" si="4"/>
        <v>2025 Feb</v>
      </c>
    </row>
    <row r="307" spans="1:7">
      <c r="A307">
        <v>1306</v>
      </c>
      <c r="B307" t="s">
        <v>10</v>
      </c>
      <c r="C307" s="1">
        <v>45704</v>
      </c>
      <c r="D307" t="s">
        <v>26</v>
      </c>
      <c r="E307" t="s">
        <v>18</v>
      </c>
      <c r="F307" s="5">
        <v>376.09</v>
      </c>
      <c r="G307" s="4" t="str">
        <f t="shared" si="4"/>
        <v>2025 Feb</v>
      </c>
    </row>
    <row r="308" spans="1:7">
      <c r="A308">
        <v>1307</v>
      </c>
      <c r="B308" t="s">
        <v>45</v>
      </c>
      <c r="C308" s="1">
        <v>45705</v>
      </c>
      <c r="D308" t="s">
        <v>23</v>
      </c>
      <c r="E308" t="s">
        <v>47</v>
      </c>
      <c r="F308" s="5">
        <v>285.97000000000003</v>
      </c>
      <c r="G308" s="4" t="str">
        <f t="shared" si="4"/>
        <v>2025 Feb</v>
      </c>
    </row>
    <row r="309" spans="1:7">
      <c r="A309">
        <v>1308</v>
      </c>
      <c r="B309" t="s">
        <v>36</v>
      </c>
      <c r="C309" s="1">
        <v>45706</v>
      </c>
      <c r="D309" t="s">
        <v>38</v>
      </c>
      <c r="E309" t="s">
        <v>47</v>
      </c>
      <c r="F309" s="5">
        <v>146.75</v>
      </c>
      <c r="G309" s="4" t="str">
        <f t="shared" si="4"/>
        <v>2025 Feb</v>
      </c>
    </row>
    <row r="310" spans="1:7">
      <c r="A310">
        <v>1309</v>
      </c>
      <c r="B310" t="s">
        <v>36</v>
      </c>
      <c r="C310" s="1">
        <v>45707</v>
      </c>
      <c r="D310" t="s">
        <v>8</v>
      </c>
      <c r="E310" t="s">
        <v>24</v>
      </c>
      <c r="F310" s="5">
        <v>111.65</v>
      </c>
      <c r="G310" s="4" t="str">
        <f t="shared" si="4"/>
        <v>2025 Feb</v>
      </c>
    </row>
    <row r="311" spans="1:7">
      <c r="A311">
        <v>1310</v>
      </c>
      <c r="B311" t="s">
        <v>17</v>
      </c>
      <c r="C311" s="1">
        <v>45708</v>
      </c>
      <c r="D311" t="s">
        <v>33</v>
      </c>
      <c r="E311" t="s">
        <v>47</v>
      </c>
      <c r="F311" s="5">
        <v>73</v>
      </c>
      <c r="G311" s="4" t="str">
        <f t="shared" si="4"/>
        <v>2025 Feb</v>
      </c>
    </row>
    <row r="312" spans="1:7">
      <c r="A312">
        <v>1311</v>
      </c>
      <c r="B312" t="s">
        <v>39</v>
      </c>
      <c r="C312" s="1">
        <v>45709</v>
      </c>
      <c r="D312" t="s">
        <v>30</v>
      </c>
      <c r="E312" t="s">
        <v>18</v>
      </c>
      <c r="F312" s="5">
        <v>112.57</v>
      </c>
      <c r="G312" s="4" t="str">
        <f t="shared" si="4"/>
        <v>2025 Feb</v>
      </c>
    </row>
    <row r="313" spans="1:7">
      <c r="A313">
        <v>1312</v>
      </c>
      <c r="B313" t="s">
        <v>44</v>
      </c>
      <c r="C313" s="1">
        <v>45710</v>
      </c>
      <c r="D313" t="s">
        <v>29</v>
      </c>
      <c r="E313" t="s">
        <v>47</v>
      </c>
      <c r="F313" s="5">
        <v>69.89</v>
      </c>
      <c r="G313" s="4" t="str">
        <f t="shared" si="4"/>
        <v>2025 Feb</v>
      </c>
    </row>
    <row r="314" spans="1:7">
      <c r="A314">
        <v>1313</v>
      </c>
      <c r="B314" t="s">
        <v>44</v>
      </c>
      <c r="C314" s="1">
        <v>45711</v>
      </c>
      <c r="D314" t="s">
        <v>38</v>
      </c>
      <c r="E314" t="s">
        <v>9</v>
      </c>
      <c r="F314" s="5">
        <v>485.41</v>
      </c>
      <c r="G314" s="4" t="str">
        <f t="shared" si="4"/>
        <v>2025 Feb</v>
      </c>
    </row>
    <row r="315" spans="1:7">
      <c r="A315">
        <v>1314</v>
      </c>
      <c r="B315" t="s">
        <v>22</v>
      </c>
      <c r="C315" s="1">
        <v>45712</v>
      </c>
      <c r="D315" t="s">
        <v>8</v>
      </c>
      <c r="E315" t="s">
        <v>18</v>
      </c>
      <c r="F315" s="5">
        <v>43.85</v>
      </c>
      <c r="G315" s="4" t="str">
        <f t="shared" si="4"/>
        <v>2025 Feb</v>
      </c>
    </row>
    <row r="316" spans="1:7">
      <c r="A316">
        <v>1315</v>
      </c>
      <c r="B316" t="s">
        <v>39</v>
      </c>
      <c r="C316" s="1">
        <v>45713</v>
      </c>
      <c r="D316" t="s">
        <v>23</v>
      </c>
      <c r="E316" t="s">
        <v>20</v>
      </c>
      <c r="F316" s="5">
        <v>493.7</v>
      </c>
      <c r="G316" s="4" t="str">
        <f t="shared" si="4"/>
        <v>2025 Feb</v>
      </c>
    </row>
    <row r="317" spans="1:7">
      <c r="A317">
        <v>1316</v>
      </c>
      <c r="B317" t="s">
        <v>43</v>
      </c>
      <c r="C317" s="1">
        <v>45714</v>
      </c>
      <c r="D317" t="s">
        <v>8</v>
      </c>
      <c r="E317" t="s">
        <v>18</v>
      </c>
      <c r="F317" s="5">
        <v>404.4</v>
      </c>
      <c r="G317" s="4" t="str">
        <f t="shared" si="4"/>
        <v>2025 Feb</v>
      </c>
    </row>
    <row r="318" spans="1:7">
      <c r="A318">
        <v>1317</v>
      </c>
      <c r="B318" t="s">
        <v>7</v>
      </c>
      <c r="C318" s="1">
        <v>45715</v>
      </c>
      <c r="D318" t="s">
        <v>11</v>
      </c>
      <c r="E318" t="s">
        <v>18</v>
      </c>
      <c r="F318" s="5">
        <v>53.46</v>
      </c>
      <c r="G318" s="4" t="str">
        <f t="shared" si="4"/>
        <v>2025 Feb</v>
      </c>
    </row>
    <row r="319" spans="1:7">
      <c r="A319">
        <v>1318</v>
      </c>
      <c r="B319" t="s">
        <v>15</v>
      </c>
      <c r="C319" s="1">
        <v>45716</v>
      </c>
      <c r="D319" t="s">
        <v>8</v>
      </c>
      <c r="E319" t="s">
        <v>12</v>
      </c>
      <c r="F319" s="5">
        <v>332.66</v>
      </c>
      <c r="G319" s="4" t="str">
        <f t="shared" si="4"/>
        <v>2025 Feb</v>
      </c>
    </row>
    <row r="320" spans="1:7">
      <c r="A320">
        <v>1319</v>
      </c>
      <c r="B320" t="s">
        <v>36</v>
      </c>
      <c r="C320" s="1">
        <v>45717</v>
      </c>
      <c r="D320" t="s">
        <v>30</v>
      </c>
      <c r="E320" t="s">
        <v>12</v>
      </c>
      <c r="F320" s="5">
        <v>275.83</v>
      </c>
      <c r="G320" s="4" t="str">
        <f t="shared" si="4"/>
        <v>2025 Mar</v>
      </c>
    </row>
    <row r="321" spans="1:7">
      <c r="A321">
        <v>1320</v>
      </c>
      <c r="B321" t="s">
        <v>28</v>
      </c>
      <c r="C321" s="1">
        <v>45718</v>
      </c>
      <c r="D321" t="s">
        <v>26</v>
      </c>
      <c r="E321" t="s">
        <v>47</v>
      </c>
      <c r="F321" s="5">
        <v>227.66</v>
      </c>
      <c r="G321" s="4" t="str">
        <f t="shared" si="4"/>
        <v>2025 Mar</v>
      </c>
    </row>
    <row r="322" spans="1:7">
      <c r="A322">
        <v>1321</v>
      </c>
      <c r="B322" t="s">
        <v>17</v>
      </c>
      <c r="C322" s="1">
        <v>45719</v>
      </c>
      <c r="D322" t="s">
        <v>23</v>
      </c>
      <c r="E322" t="s">
        <v>12</v>
      </c>
      <c r="F322" s="5">
        <v>205.48</v>
      </c>
      <c r="G322" s="4" t="str">
        <f t="shared" ref="G322:G385" si="5">TEXT(C322,"yyyy mmm")</f>
        <v>2025 Mar</v>
      </c>
    </row>
    <row r="323" spans="1:7">
      <c r="A323">
        <v>1322</v>
      </c>
      <c r="B323" t="s">
        <v>17</v>
      </c>
      <c r="C323" s="1">
        <v>45720</v>
      </c>
      <c r="D323" t="s">
        <v>35</v>
      </c>
      <c r="E323" t="s">
        <v>9</v>
      </c>
      <c r="F323" s="5">
        <v>403.56</v>
      </c>
      <c r="G323" s="4" t="str">
        <f t="shared" si="5"/>
        <v>2025 Mar</v>
      </c>
    </row>
    <row r="324" spans="1:7">
      <c r="A324">
        <v>1323</v>
      </c>
      <c r="B324" t="s">
        <v>39</v>
      </c>
      <c r="C324" s="1">
        <v>45721</v>
      </c>
      <c r="D324" t="s">
        <v>30</v>
      </c>
      <c r="E324" t="s">
        <v>9</v>
      </c>
      <c r="F324" s="5">
        <v>388.61</v>
      </c>
      <c r="G324" s="4" t="str">
        <f t="shared" si="5"/>
        <v>2025 Mar</v>
      </c>
    </row>
    <row r="325" spans="1:7">
      <c r="A325">
        <v>1324</v>
      </c>
      <c r="B325" t="s">
        <v>36</v>
      </c>
      <c r="C325" s="1">
        <v>45722</v>
      </c>
      <c r="D325" t="s">
        <v>34</v>
      </c>
      <c r="E325" t="s">
        <v>27</v>
      </c>
      <c r="F325" s="5">
        <v>416.73</v>
      </c>
      <c r="G325" s="4" t="str">
        <f t="shared" si="5"/>
        <v>2025 Mar</v>
      </c>
    </row>
    <row r="326" spans="1:7">
      <c r="A326">
        <v>1325</v>
      </c>
      <c r="B326" t="s">
        <v>13</v>
      </c>
      <c r="C326" s="1">
        <v>45723</v>
      </c>
      <c r="D326" t="s">
        <v>33</v>
      </c>
      <c r="E326" t="s">
        <v>47</v>
      </c>
      <c r="F326" s="5">
        <v>281.47000000000003</v>
      </c>
      <c r="G326" s="4" t="str">
        <f t="shared" si="5"/>
        <v>2025 Mar</v>
      </c>
    </row>
    <row r="327" spans="1:7">
      <c r="A327">
        <v>1326</v>
      </c>
      <c r="B327" t="s">
        <v>49</v>
      </c>
      <c r="C327" s="1">
        <v>45724</v>
      </c>
      <c r="D327" t="s">
        <v>8</v>
      </c>
      <c r="E327" t="s">
        <v>20</v>
      </c>
      <c r="F327" s="5">
        <v>380.29</v>
      </c>
      <c r="G327" s="4" t="str">
        <f t="shared" si="5"/>
        <v>2025 Mar</v>
      </c>
    </row>
    <row r="328" spans="1:7">
      <c r="A328">
        <v>1327</v>
      </c>
      <c r="B328" t="s">
        <v>41</v>
      </c>
      <c r="C328" s="1">
        <v>45725</v>
      </c>
      <c r="D328" t="s">
        <v>33</v>
      </c>
      <c r="E328" t="s">
        <v>20</v>
      </c>
      <c r="F328" s="5">
        <v>135.19</v>
      </c>
      <c r="G328" s="4" t="str">
        <f t="shared" si="5"/>
        <v>2025 Mar</v>
      </c>
    </row>
    <row r="329" spans="1:7">
      <c r="A329">
        <v>1328</v>
      </c>
      <c r="B329" t="s">
        <v>44</v>
      </c>
      <c r="C329" s="1">
        <v>45726</v>
      </c>
      <c r="D329" t="s">
        <v>8</v>
      </c>
      <c r="E329" t="s">
        <v>18</v>
      </c>
      <c r="F329" s="5">
        <v>258.39999999999998</v>
      </c>
      <c r="G329" s="4" t="str">
        <f t="shared" si="5"/>
        <v>2025 Mar</v>
      </c>
    </row>
    <row r="330" spans="1:7">
      <c r="A330">
        <v>1329</v>
      </c>
      <c r="B330" t="s">
        <v>37</v>
      </c>
      <c r="C330" s="1">
        <v>45727</v>
      </c>
      <c r="D330" t="s">
        <v>29</v>
      </c>
      <c r="E330" t="s">
        <v>31</v>
      </c>
      <c r="F330" s="5">
        <v>486.44</v>
      </c>
      <c r="G330" s="4" t="str">
        <f t="shared" si="5"/>
        <v>2025 Mar</v>
      </c>
    </row>
    <row r="331" spans="1:7">
      <c r="A331">
        <v>1330</v>
      </c>
      <c r="B331" t="s">
        <v>49</v>
      </c>
      <c r="C331" s="1">
        <v>45728</v>
      </c>
      <c r="D331" t="s">
        <v>29</v>
      </c>
      <c r="E331" t="s">
        <v>9</v>
      </c>
      <c r="F331" s="5">
        <v>133.66999999999999</v>
      </c>
      <c r="G331" s="4" t="str">
        <f t="shared" si="5"/>
        <v>2025 Mar</v>
      </c>
    </row>
    <row r="332" spans="1:7">
      <c r="A332">
        <v>1331</v>
      </c>
      <c r="B332" t="s">
        <v>25</v>
      </c>
      <c r="C332" s="1">
        <v>45729</v>
      </c>
      <c r="D332" t="s">
        <v>38</v>
      </c>
      <c r="E332" t="s">
        <v>47</v>
      </c>
      <c r="F332" s="5">
        <v>39.22</v>
      </c>
      <c r="G332" s="4" t="str">
        <f t="shared" si="5"/>
        <v>2025 Mar</v>
      </c>
    </row>
    <row r="333" spans="1:7">
      <c r="A333">
        <v>1332</v>
      </c>
      <c r="B333" t="s">
        <v>21</v>
      </c>
      <c r="C333" s="1">
        <v>45730</v>
      </c>
      <c r="D333" t="s">
        <v>34</v>
      </c>
      <c r="E333" t="s">
        <v>31</v>
      </c>
      <c r="F333" s="5">
        <v>499.99</v>
      </c>
      <c r="G333" s="4" t="str">
        <f t="shared" si="5"/>
        <v>2025 Mar</v>
      </c>
    </row>
    <row r="334" spans="1:7">
      <c r="A334">
        <v>1333</v>
      </c>
      <c r="B334" t="s">
        <v>36</v>
      </c>
      <c r="C334" s="1">
        <v>45731</v>
      </c>
      <c r="D334" t="s">
        <v>40</v>
      </c>
      <c r="E334" t="s">
        <v>46</v>
      </c>
      <c r="F334" s="5">
        <v>250.23</v>
      </c>
      <c r="G334" s="4" t="str">
        <f t="shared" si="5"/>
        <v>2025 Mar</v>
      </c>
    </row>
    <row r="335" spans="1:7">
      <c r="A335">
        <v>1334</v>
      </c>
      <c r="B335" t="s">
        <v>48</v>
      </c>
      <c r="C335" s="1">
        <v>45732</v>
      </c>
      <c r="D335" t="s">
        <v>29</v>
      </c>
      <c r="E335" t="s">
        <v>9</v>
      </c>
      <c r="F335" s="5">
        <v>404.47</v>
      </c>
      <c r="G335" s="4" t="str">
        <f t="shared" si="5"/>
        <v>2025 Mar</v>
      </c>
    </row>
    <row r="336" spans="1:7">
      <c r="A336">
        <v>1335</v>
      </c>
      <c r="B336" t="s">
        <v>45</v>
      </c>
      <c r="C336" s="1">
        <v>45733</v>
      </c>
      <c r="D336" t="s">
        <v>23</v>
      </c>
      <c r="E336" t="s">
        <v>24</v>
      </c>
      <c r="F336" s="5">
        <v>125.26</v>
      </c>
      <c r="G336" s="4" t="str">
        <f t="shared" si="5"/>
        <v>2025 Mar</v>
      </c>
    </row>
    <row r="337" spans="1:7">
      <c r="A337">
        <v>1336</v>
      </c>
      <c r="B337" t="s">
        <v>36</v>
      </c>
      <c r="C337" s="1">
        <v>45734</v>
      </c>
      <c r="D337" t="s">
        <v>35</v>
      </c>
      <c r="E337" t="s">
        <v>24</v>
      </c>
      <c r="F337" s="5">
        <v>417.59</v>
      </c>
      <c r="G337" s="4" t="str">
        <f t="shared" si="5"/>
        <v>2025 Mar</v>
      </c>
    </row>
    <row r="338" spans="1:7">
      <c r="A338">
        <v>1337</v>
      </c>
      <c r="B338" t="s">
        <v>48</v>
      </c>
      <c r="C338" s="1">
        <v>45735</v>
      </c>
      <c r="D338" t="s">
        <v>29</v>
      </c>
      <c r="E338" t="s">
        <v>27</v>
      </c>
      <c r="F338" s="5">
        <v>484.08</v>
      </c>
      <c r="G338" s="4" t="str">
        <f t="shared" si="5"/>
        <v>2025 Mar</v>
      </c>
    </row>
    <row r="339" spans="1:7">
      <c r="A339">
        <v>1338</v>
      </c>
      <c r="B339" t="s">
        <v>22</v>
      </c>
      <c r="C339" s="1">
        <v>45736</v>
      </c>
      <c r="D339" t="s">
        <v>14</v>
      </c>
      <c r="E339" t="s">
        <v>47</v>
      </c>
      <c r="F339" s="5">
        <v>358.47</v>
      </c>
      <c r="G339" s="4" t="str">
        <f t="shared" si="5"/>
        <v>2025 Mar</v>
      </c>
    </row>
    <row r="340" spans="1:7">
      <c r="A340">
        <v>1339</v>
      </c>
      <c r="B340" t="s">
        <v>36</v>
      </c>
      <c r="C340" s="1">
        <v>45737</v>
      </c>
      <c r="D340" t="s">
        <v>11</v>
      </c>
      <c r="E340" t="s">
        <v>31</v>
      </c>
      <c r="F340" s="5">
        <v>392.28</v>
      </c>
      <c r="G340" s="4" t="str">
        <f t="shared" si="5"/>
        <v>2025 Mar</v>
      </c>
    </row>
    <row r="341" spans="1:7">
      <c r="A341">
        <v>1340</v>
      </c>
      <c r="B341" t="s">
        <v>44</v>
      </c>
      <c r="C341" s="1">
        <v>45738</v>
      </c>
      <c r="D341" t="s">
        <v>34</v>
      </c>
      <c r="E341" t="s">
        <v>47</v>
      </c>
      <c r="F341" s="5">
        <v>83.75</v>
      </c>
      <c r="G341" s="4" t="str">
        <f t="shared" si="5"/>
        <v>2025 Mar</v>
      </c>
    </row>
    <row r="342" spans="1:7">
      <c r="A342">
        <v>1341</v>
      </c>
      <c r="B342" t="s">
        <v>44</v>
      </c>
      <c r="C342" s="1">
        <v>45739</v>
      </c>
      <c r="D342" t="s">
        <v>33</v>
      </c>
      <c r="E342" t="s">
        <v>9</v>
      </c>
      <c r="F342" s="5">
        <v>349.26</v>
      </c>
      <c r="G342" s="4" t="str">
        <f t="shared" si="5"/>
        <v>2025 Mar</v>
      </c>
    </row>
    <row r="343" spans="1:7">
      <c r="A343">
        <v>1342</v>
      </c>
      <c r="B343" t="s">
        <v>22</v>
      </c>
      <c r="C343" s="1">
        <v>45740</v>
      </c>
      <c r="D343" t="s">
        <v>40</v>
      </c>
      <c r="E343" t="s">
        <v>12</v>
      </c>
      <c r="F343" s="5">
        <v>495.47</v>
      </c>
      <c r="G343" s="4" t="str">
        <f t="shared" si="5"/>
        <v>2025 Mar</v>
      </c>
    </row>
    <row r="344" spans="1:7">
      <c r="A344">
        <v>1343</v>
      </c>
      <c r="B344" t="s">
        <v>17</v>
      </c>
      <c r="C344" s="1">
        <v>45741</v>
      </c>
      <c r="D344" t="s">
        <v>40</v>
      </c>
      <c r="E344" t="s">
        <v>9</v>
      </c>
      <c r="F344" s="5">
        <v>440.12</v>
      </c>
      <c r="G344" s="4" t="str">
        <f t="shared" si="5"/>
        <v>2025 Mar</v>
      </c>
    </row>
    <row r="345" spans="1:7">
      <c r="A345">
        <v>1344</v>
      </c>
      <c r="B345" t="s">
        <v>10</v>
      </c>
      <c r="C345" s="1">
        <v>45742</v>
      </c>
      <c r="D345" t="s">
        <v>38</v>
      </c>
      <c r="E345" t="s">
        <v>27</v>
      </c>
      <c r="F345" s="5">
        <v>235.65</v>
      </c>
      <c r="G345" s="4" t="str">
        <f t="shared" si="5"/>
        <v>2025 Mar</v>
      </c>
    </row>
    <row r="346" spans="1:7">
      <c r="A346">
        <v>1345</v>
      </c>
      <c r="B346" t="s">
        <v>41</v>
      </c>
      <c r="C346" s="1">
        <v>45743</v>
      </c>
      <c r="D346" t="s">
        <v>29</v>
      </c>
      <c r="E346" t="s">
        <v>47</v>
      </c>
      <c r="F346" s="5">
        <v>439.2</v>
      </c>
      <c r="G346" s="4" t="str">
        <f t="shared" si="5"/>
        <v>2025 Mar</v>
      </c>
    </row>
    <row r="347" spans="1:7">
      <c r="A347">
        <v>1346</v>
      </c>
      <c r="B347" t="s">
        <v>15</v>
      </c>
      <c r="C347" s="1">
        <v>45744</v>
      </c>
      <c r="D347" t="s">
        <v>40</v>
      </c>
      <c r="E347" t="s">
        <v>9</v>
      </c>
      <c r="F347" s="5">
        <v>173.47</v>
      </c>
      <c r="G347" s="4" t="str">
        <f t="shared" si="5"/>
        <v>2025 Mar</v>
      </c>
    </row>
    <row r="348" spans="1:7">
      <c r="A348">
        <v>1347</v>
      </c>
      <c r="B348" t="s">
        <v>19</v>
      </c>
      <c r="C348" s="1">
        <v>45745</v>
      </c>
      <c r="D348" t="s">
        <v>30</v>
      </c>
      <c r="E348" t="s">
        <v>12</v>
      </c>
      <c r="F348" s="5">
        <v>100.28</v>
      </c>
      <c r="G348" s="4" t="str">
        <f t="shared" si="5"/>
        <v>2025 Mar</v>
      </c>
    </row>
    <row r="349" spans="1:7">
      <c r="A349">
        <v>1348</v>
      </c>
      <c r="B349" t="s">
        <v>43</v>
      </c>
      <c r="C349" s="1">
        <v>45746</v>
      </c>
      <c r="D349" t="s">
        <v>35</v>
      </c>
      <c r="E349" t="s">
        <v>24</v>
      </c>
      <c r="F349" s="5">
        <v>277.89999999999998</v>
      </c>
      <c r="G349" s="4" t="str">
        <f t="shared" si="5"/>
        <v>2025 Mar</v>
      </c>
    </row>
    <row r="350" spans="1:7">
      <c r="A350">
        <v>1349</v>
      </c>
      <c r="B350" t="s">
        <v>36</v>
      </c>
      <c r="C350" s="1">
        <v>45747</v>
      </c>
      <c r="D350" t="s">
        <v>33</v>
      </c>
      <c r="E350" t="s">
        <v>9</v>
      </c>
      <c r="F350" s="5">
        <v>142.99</v>
      </c>
      <c r="G350" s="4" t="str">
        <f t="shared" si="5"/>
        <v>2025 Mar</v>
      </c>
    </row>
    <row r="351" spans="1:7">
      <c r="A351">
        <v>1350</v>
      </c>
      <c r="B351" t="s">
        <v>37</v>
      </c>
      <c r="C351" s="1">
        <v>45748</v>
      </c>
      <c r="D351" t="s">
        <v>35</v>
      </c>
      <c r="E351" t="s">
        <v>46</v>
      </c>
      <c r="F351" s="5">
        <v>139.03</v>
      </c>
      <c r="G351" s="4" t="str">
        <f t="shared" si="5"/>
        <v>2025 Apr</v>
      </c>
    </row>
    <row r="352" spans="1:7">
      <c r="A352">
        <v>1351</v>
      </c>
      <c r="B352" t="s">
        <v>32</v>
      </c>
      <c r="C352" s="1">
        <v>45749</v>
      </c>
      <c r="D352" t="s">
        <v>23</v>
      </c>
      <c r="E352" t="s">
        <v>12</v>
      </c>
      <c r="F352" s="5">
        <v>271.89</v>
      </c>
      <c r="G352" s="4" t="str">
        <f t="shared" si="5"/>
        <v>2025 Apr</v>
      </c>
    </row>
    <row r="353" spans="1:7">
      <c r="A353">
        <v>1352</v>
      </c>
      <c r="B353" t="s">
        <v>19</v>
      </c>
      <c r="C353" s="1">
        <v>45750</v>
      </c>
      <c r="D353" t="s">
        <v>8</v>
      </c>
      <c r="E353" t="s">
        <v>27</v>
      </c>
      <c r="F353" s="5">
        <v>317.83999999999997</v>
      </c>
      <c r="G353" s="4" t="str">
        <f t="shared" si="5"/>
        <v>2025 Apr</v>
      </c>
    </row>
    <row r="354" spans="1:7">
      <c r="A354">
        <v>1353</v>
      </c>
      <c r="B354" t="s">
        <v>10</v>
      </c>
      <c r="C354" s="1">
        <v>45751</v>
      </c>
      <c r="D354" t="s">
        <v>35</v>
      </c>
      <c r="E354" t="s">
        <v>27</v>
      </c>
      <c r="F354" s="5">
        <v>102.13</v>
      </c>
      <c r="G354" s="4" t="str">
        <f t="shared" si="5"/>
        <v>2025 Apr</v>
      </c>
    </row>
    <row r="355" spans="1:7">
      <c r="A355">
        <v>1354</v>
      </c>
      <c r="B355" t="s">
        <v>19</v>
      </c>
      <c r="C355" s="1">
        <v>45752</v>
      </c>
      <c r="D355" t="s">
        <v>14</v>
      </c>
      <c r="E355" t="s">
        <v>27</v>
      </c>
      <c r="F355" s="5">
        <v>383.11</v>
      </c>
      <c r="G355" s="4" t="str">
        <f t="shared" si="5"/>
        <v>2025 Apr</v>
      </c>
    </row>
    <row r="356" spans="1:7">
      <c r="A356">
        <v>1355</v>
      </c>
      <c r="B356" t="s">
        <v>32</v>
      </c>
      <c r="C356" s="1">
        <v>45753</v>
      </c>
      <c r="D356" t="s">
        <v>34</v>
      </c>
      <c r="E356" t="s">
        <v>9</v>
      </c>
      <c r="F356" s="5">
        <v>333.64</v>
      </c>
      <c r="G356" s="4" t="str">
        <f t="shared" si="5"/>
        <v>2025 Apr</v>
      </c>
    </row>
    <row r="357" spans="1:7">
      <c r="A357">
        <v>1356</v>
      </c>
      <c r="B357" t="s">
        <v>25</v>
      </c>
      <c r="C357" s="1">
        <v>45754</v>
      </c>
      <c r="D357" t="s">
        <v>38</v>
      </c>
      <c r="E357" t="s">
        <v>12</v>
      </c>
      <c r="F357" s="5">
        <v>349.09</v>
      </c>
      <c r="G357" s="4" t="str">
        <f t="shared" si="5"/>
        <v>2025 Apr</v>
      </c>
    </row>
    <row r="358" spans="1:7">
      <c r="A358">
        <v>1357</v>
      </c>
      <c r="B358" t="s">
        <v>25</v>
      </c>
      <c r="C358" s="1">
        <v>45755</v>
      </c>
      <c r="D358" t="s">
        <v>38</v>
      </c>
      <c r="E358" t="s">
        <v>46</v>
      </c>
      <c r="F358" s="5">
        <v>446.47</v>
      </c>
      <c r="G358" s="4" t="str">
        <f t="shared" si="5"/>
        <v>2025 Apr</v>
      </c>
    </row>
    <row r="359" spans="1:7">
      <c r="A359">
        <v>1358</v>
      </c>
      <c r="B359" t="s">
        <v>41</v>
      </c>
      <c r="C359" s="1">
        <v>45756</v>
      </c>
      <c r="D359" t="s">
        <v>40</v>
      </c>
      <c r="E359" t="s">
        <v>24</v>
      </c>
      <c r="F359" s="5">
        <v>477.37</v>
      </c>
      <c r="G359" s="4" t="str">
        <f t="shared" si="5"/>
        <v>2025 Apr</v>
      </c>
    </row>
    <row r="360" spans="1:7">
      <c r="A360">
        <v>1359</v>
      </c>
      <c r="B360" t="s">
        <v>22</v>
      </c>
      <c r="C360" s="1">
        <v>45757</v>
      </c>
      <c r="D360" t="s">
        <v>14</v>
      </c>
      <c r="E360" t="s">
        <v>12</v>
      </c>
      <c r="F360" s="5">
        <v>38.19</v>
      </c>
      <c r="G360" s="4" t="str">
        <f t="shared" si="5"/>
        <v>2025 Apr</v>
      </c>
    </row>
    <row r="361" spans="1:7">
      <c r="A361">
        <v>1360</v>
      </c>
      <c r="B361" t="s">
        <v>28</v>
      </c>
      <c r="C361" s="1">
        <v>45758</v>
      </c>
      <c r="D361" t="s">
        <v>38</v>
      </c>
      <c r="E361" t="s">
        <v>12</v>
      </c>
      <c r="F361" s="5">
        <v>80.400000000000006</v>
      </c>
      <c r="G361" s="4" t="str">
        <f t="shared" si="5"/>
        <v>2025 Apr</v>
      </c>
    </row>
    <row r="362" spans="1:7">
      <c r="A362">
        <v>1361</v>
      </c>
      <c r="B362" t="s">
        <v>43</v>
      </c>
      <c r="C362" s="1">
        <v>45759</v>
      </c>
      <c r="D362" t="s">
        <v>35</v>
      </c>
      <c r="E362" t="s">
        <v>27</v>
      </c>
      <c r="F362" s="5">
        <v>372.29</v>
      </c>
      <c r="G362" s="4" t="str">
        <f t="shared" si="5"/>
        <v>2025 Apr</v>
      </c>
    </row>
    <row r="363" spans="1:7">
      <c r="A363">
        <v>1362</v>
      </c>
      <c r="B363" t="s">
        <v>43</v>
      </c>
      <c r="C363" s="1">
        <v>45760</v>
      </c>
      <c r="D363" t="s">
        <v>14</v>
      </c>
      <c r="E363" t="s">
        <v>9</v>
      </c>
      <c r="F363" s="5">
        <v>253.93</v>
      </c>
      <c r="G363" s="4" t="str">
        <f t="shared" si="5"/>
        <v>2025 Apr</v>
      </c>
    </row>
    <row r="364" spans="1:7">
      <c r="A364">
        <v>1363</v>
      </c>
      <c r="B364" t="s">
        <v>28</v>
      </c>
      <c r="C364" s="1">
        <v>45761</v>
      </c>
      <c r="D364" t="s">
        <v>29</v>
      </c>
      <c r="E364" t="s">
        <v>20</v>
      </c>
      <c r="F364" s="5">
        <v>264.38</v>
      </c>
      <c r="G364" s="4" t="str">
        <f t="shared" si="5"/>
        <v>2025 Apr</v>
      </c>
    </row>
    <row r="365" spans="1:7">
      <c r="A365">
        <v>1364</v>
      </c>
      <c r="B365" t="s">
        <v>21</v>
      </c>
      <c r="C365" s="1">
        <v>45762</v>
      </c>
      <c r="D365" t="s">
        <v>14</v>
      </c>
      <c r="E365" t="s">
        <v>18</v>
      </c>
      <c r="F365" s="5">
        <v>69.069999999999993</v>
      </c>
      <c r="G365" s="4" t="str">
        <f t="shared" si="5"/>
        <v>2025 Apr</v>
      </c>
    </row>
    <row r="366" spans="1:7">
      <c r="A366">
        <v>1365</v>
      </c>
      <c r="B366" t="s">
        <v>25</v>
      </c>
      <c r="C366" s="1">
        <v>45763</v>
      </c>
      <c r="D366" t="s">
        <v>33</v>
      </c>
      <c r="E366" t="s">
        <v>12</v>
      </c>
      <c r="F366" s="5">
        <v>232.71</v>
      </c>
      <c r="G366" s="4" t="str">
        <f t="shared" si="5"/>
        <v>2025 Apr</v>
      </c>
    </row>
    <row r="367" spans="1:7">
      <c r="A367">
        <v>1366</v>
      </c>
      <c r="B367" t="s">
        <v>25</v>
      </c>
      <c r="C367" s="1">
        <v>45764</v>
      </c>
      <c r="D367" t="s">
        <v>29</v>
      </c>
      <c r="E367" t="s">
        <v>31</v>
      </c>
      <c r="F367" s="5">
        <v>319.55</v>
      </c>
      <c r="G367" s="4" t="str">
        <f t="shared" si="5"/>
        <v>2025 Apr</v>
      </c>
    </row>
    <row r="368" spans="1:7">
      <c r="A368">
        <v>1367</v>
      </c>
      <c r="B368" t="s">
        <v>13</v>
      </c>
      <c r="C368" s="1">
        <v>45765</v>
      </c>
      <c r="D368" t="s">
        <v>14</v>
      </c>
      <c r="E368" t="s">
        <v>16</v>
      </c>
      <c r="F368" s="5">
        <v>185.96</v>
      </c>
      <c r="G368" s="4" t="str">
        <f t="shared" si="5"/>
        <v>2025 Apr</v>
      </c>
    </row>
    <row r="369" spans="1:7">
      <c r="A369">
        <v>1368</v>
      </c>
      <c r="B369" t="s">
        <v>7</v>
      </c>
      <c r="C369" s="1">
        <v>45766</v>
      </c>
      <c r="D369" t="s">
        <v>23</v>
      </c>
      <c r="E369" t="s">
        <v>24</v>
      </c>
      <c r="F369" s="5">
        <v>262.63</v>
      </c>
      <c r="G369" s="4" t="str">
        <f t="shared" si="5"/>
        <v>2025 Apr</v>
      </c>
    </row>
    <row r="370" spans="1:7">
      <c r="A370">
        <v>1369</v>
      </c>
      <c r="B370" t="s">
        <v>44</v>
      </c>
      <c r="C370" s="1">
        <v>45767</v>
      </c>
      <c r="D370" t="s">
        <v>33</v>
      </c>
      <c r="E370" t="s">
        <v>27</v>
      </c>
      <c r="F370" s="5">
        <v>139.81</v>
      </c>
      <c r="G370" s="4" t="str">
        <f t="shared" si="5"/>
        <v>2025 Apr</v>
      </c>
    </row>
    <row r="371" spans="1:7">
      <c r="A371">
        <v>1370</v>
      </c>
      <c r="B371" t="s">
        <v>39</v>
      </c>
      <c r="C371" s="1">
        <v>45768</v>
      </c>
      <c r="D371" t="s">
        <v>40</v>
      </c>
      <c r="E371" t="s">
        <v>27</v>
      </c>
      <c r="F371" s="5">
        <v>110.03</v>
      </c>
      <c r="G371" s="4" t="str">
        <f t="shared" si="5"/>
        <v>2025 Apr</v>
      </c>
    </row>
    <row r="372" spans="1:7">
      <c r="A372">
        <v>1371</v>
      </c>
      <c r="B372" t="s">
        <v>36</v>
      </c>
      <c r="C372" s="1">
        <v>45769</v>
      </c>
      <c r="D372" t="s">
        <v>35</v>
      </c>
      <c r="E372" t="s">
        <v>12</v>
      </c>
      <c r="F372" s="5">
        <v>449.47</v>
      </c>
      <c r="G372" s="4" t="str">
        <f t="shared" si="5"/>
        <v>2025 Apr</v>
      </c>
    </row>
    <row r="373" spans="1:7">
      <c r="A373">
        <v>1372</v>
      </c>
      <c r="B373" t="s">
        <v>41</v>
      </c>
      <c r="C373" s="1">
        <v>45770</v>
      </c>
      <c r="D373" t="s">
        <v>38</v>
      </c>
      <c r="E373" t="s">
        <v>20</v>
      </c>
      <c r="F373" s="5">
        <v>210.62</v>
      </c>
      <c r="G373" s="4" t="str">
        <f t="shared" si="5"/>
        <v>2025 Apr</v>
      </c>
    </row>
    <row r="374" spans="1:7">
      <c r="A374">
        <v>1373</v>
      </c>
      <c r="B374" t="s">
        <v>49</v>
      </c>
      <c r="C374" s="1">
        <v>45771</v>
      </c>
      <c r="D374" t="s">
        <v>26</v>
      </c>
      <c r="E374" t="s">
        <v>12</v>
      </c>
      <c r="F374" s="5">
        <v>284.97000000000003</v>
      </c>
      <c r="G374" s="4" t="str">
        <f t="shared" si="5"/>
        <v>2025 Apr</v>
      </c>
    </row>
    <row r="375" spans="1:7">
      <c r="A375">
        <v>1374</v>
      </c>
      <c r="B375" t="s">
        <v>7</v>
      </c>
      <c r="C375" s="1">
        <v>45772</v>
      </c>
      <c r="D375" t="s">
        <v>35</v>
      </c>
      <c r="E375" t="s">
        <v>47</v>
      </c>
      <c r="F375" s="5">
        <v>247.16</v>
      </c>
      <c r="G375" s="4" t="str">
        <f t="shared" si="5"/>
        <v>2025 Apr</v>
      </c>
    </row>
    <row r="376" spans="1:7">
      <c r="A376">
        <v>1375</v>
      </c>
      <c r="B376" t="s">
        <v>36</v>
      </c>
      <c r="C376" s="1">
        <v>45773</v>
      </c>
      <c r="D376" t="s">
        <v>30</v>
      </c>
      <c r="E376" t="s">
        <v>47</v>
      </c>
      <c r="F376" s="5">
        <v>222.44</v>
      </c>
      <c r="G376" s="4" t="str">
        <f t="shared" si="5"/>
        <v>2025 Apr</v>
      </c>
    </row>
    <row r="377" spans="1:7">
      <c r="A377">
        <v>1376</v>
      </c>
      <c r="B377" t="s">
        <v>36</v>
      </c>
      <c r="C377" s="1">
        <v>45774</v>
      </c>
      <c r="D377" t="s">
        <v>38</v>
      </c>
      <c r="E377" t="s">
        <v>47</v>
      </c>
      <c r="F377" s="5">
        <v>264.64999999999998</v>
      </c>
      <c r="G377" s="4" t="str">
        <f t="shared" si="5"/>
        <v>2025 Apr</v>
      </c>
    </row>
    <row r="378" spans="1:7">
      <c r="A378">
        <v>1377</v>
      </c>
      <c r="B378" t="s">
        <v>39</v>
      </c>
      <c r="C378" s="1">
        <v>45775</v>
      </c>
      <c r="D378" t="s">
        <v>40</v>
      </c>
      <c r="E378" t="s">
        <v>18</v>
      </c>
      <c r="F378" s="5">
        <v>219.79</v>
      </c>
      <c r="G378" s="4" t="str">
        <f t="shared" si="5"/>
        <v>2025 Apr</v>
      </c>
    </row>
    <row r="379" spans="1:7">
      <c r="A379">
        <v>1378</v>
      </c>
      <c r="B379" t="s">
        <v>45</v>
      </c>
      <c r="C379" s="1">
        <v>45776</v>
      </c>
      <c r="D379" t="s">
        <v>14</v>
      </c>
      <c r="E379" t="s">
        <v>9</v>
      </c>
      <c r="F379" s="5">
        <v>48.11</v>
      </c>
      <c r="G379" s="4" t="str">
        <f t="shared" si="5"/>
        <v>2025 Apr</v>
      </c>
    </row>
    <row r="380" spans="1:7">
      <c r="A380">
        <v>1379</v>
      </c>
      <c r="B380" t="s">
        <v>7</v>
      </c>
      <c r="C380" s="1">
        <v>45777</v>
      </c>
      <c r="D380" t="s">
        <v>8</v>
      </c>
      <c r="E380" t="s">
        <v>46</v>
      </c>
      <c r="F380" s="5">
        <v>31.23</v>
      </c>
      <c r="G380" s="4" t="str">
        <f t="shared" si="5"/>
        <v>2025 Apr</v>
      </c>
    </row>
    <row r="381" spans="1:7">
      <c r="A381">
        <v>1380</v>
      </c>
      <c r="B381" t="s">
        <v>10</v>
      </c>
      <c r="C381" s="1">
        <v>45778</v>
      </c>
      <c r="D381" t="s">
        <v>30</v>
      </c>
      <c r="E381" t="s">
        <v>20</v>
      </c>
      <c r="F381" s="5">
        <v>410.2</v>
      </c>
      <c r="G381" s="4" t="str">
        <f t="shared" si="5"/>
        <v>2025 May</v>
      </c>
    </row>
    <row r="382" spans="1:7">
      <c r="A382">
        <v>1381</v>
      </c>
      <c r="B382" t="s">
        <v>41</v>
      </c>
      <c r="C382" s="1">
        <v>45779</v>
      </c>
      <c r="D382" t="s">
        <v>26</v>
      </c>
      <c r="E382" t="s">
        <v>27</v>
      </c>
      <c r="F382" s="5">
        <v>382.84</v>
      </c>
      <c r="G382" s="4" t="str">
        <f t="shared" si="5"/>
        <v>2025 May</v>
      </c>
    </row>
    <row r="383" spans="1:7">
      <c r="A383">
        <v>1382</v>
      </c>
      <c r="B383" t="s">
        <v>44</v>
      </c>
      <c r="C383" s="1">
        <v>45780</v>
      </c>
      <c r="D383" t="s">
        <v>23</v>
      </c>
      <c r="E383" t="s">
        <v>9</v>
      </c>
      <c r="F383" s="5">
        <v>246.86</v>
      </c>
      <c r="G383" s="4" t="str">
        <f t="shared" si="5"/>
        <v>2025 May</v>
      </c>
    </row>
    <row r="384" spans="1:7">
      <c r="A384">
        <v>1383</v>
      </c>
      <c r="B384" t="s">
        <v>10</v>
      </c>
      <c r="C384" s="1">
        <v>45781</v>
      </c>
      <c r="D384" t="s">
        <v>29</v>
      </c>
      <c r="E384" t="s">
        <v>12</v>
      </c>
      <c r="F384" s="5">
        <v>231.48</v>
      </c>
      <c r="G384" s="4" t="str">
        <f t="shared" si="5"/>
        <v>2025 May</v>
      </c>
    </row>
    <row r="385" spans="1:7">
      <c r="A385">
        <v>1384</v>
      </c>
      <c r="B385" t="s">
        <v>37</v>
      </c>
      <c r="C385" s="1">
        <v>45782</v>
      </c>
      <c r="D385" t="s">
        <v>34</v>
      </c>
      <c r="E385" t="s">
        <v>47</v>
      </c>
      <c r="F385" s="5">
        <v>402.45</v>
      </c>
      <c r="G385" s="4" t="str">
        <f t="shared" si="5"/>
        <v>2025 May</v>
      </c>
    </row>
    <row r="386" spans="1:7">
      <c r="A386">
        <v>1385</v>
      </c>
      <c r="B386" t="s">
        <v>39</v>
      </c>
      <c r="C386" s="1">
        <v>45783</v>
      </c>
      <c r="D386" t="s">
        <v>33</v>
      </c>
      <c r="E386" t="s">
        <v>31</v>
      </c>
      <c r="F386" s="5">
        <v>202.06</v>
      </c>
      <c r="G386" s="4" t="str">
        <f t="shared" ref="G386:G449" si="6">TEXT(C386,"yyyy mmm")</f>
        <v>2025 May</v>
      </c>
    </row>
    <row r="387" spans="1:7">
      <c r="A387">
        <v>1386</v>
      </c>
      <c r="B387" t="s">
        <v>45</v>
      </c>
      <c r="C387" s="1">
        <v>45784</v>
      </c>
      <c r="D387" t="s">
        <v>8</v>
      </c>
      <c r="E387" t="s">
        <v>16</v>
      </c>
      <c r="F387" s="5">
        <v>265.37</v>
      </c>
      <c r="G387" s="4" t="str">
        <f t="shared" si="6"/>
        <v>2025 May</v>
      </c>
    </row>
    <row r="388" spans="1:7">
      <c r="A388">
        <v>1387</v>
      </c>
      <c r="B388" t="s">
        <v>22</v>
      </c>
      <c r="C388" s="1">
        <v>45785</v>
      </c>
      <c r="D388" t="s">
        <v>14</v>
      </c>
      <c r="E388" t="s">
        <v>27</v>
      </c>
      <c r="F388" s="5">
        <v>484.39</v>
      </c>
      <c r="G388" s="4" t="str">
        <f t="shared" si="6"/>
        <v>2025 May</v>
      </c>
    </row>
    <row r="389" spans="1:7">
      <c r="A389">
        <v>1388</v>
      </c>
      <c r="B389" t="s">
        <v>19</v>
      </c>
      <c r="C389" s="1">
        <v>45786</v>
      </c>
      <c r="D389" t="s">
        <v>26</v>
      </c>
      <c r="E389" t="s">
        <v>31</v>
      </c>
      <c r="F389" s="5">
        <v>435.24</v>
      </c>
      <c r="G389" s="4" t="str">
        <f t="shared" si="6"/>
        <v>2025 May</v>
      </c>
    </row>
    <row r="390" spans="1:7">
      <c r="A390">
        <v>1389</v>
      </c>
      <c r="B390" t="s">
        <v>49</v>
      </c>
      <c r="C390" s="1">
        <v>45787</v>
      </c>
      <c r="D390" t="s">
        <v>30</v>
      </c>
      <c r="E390" t="s">
        <v>18</v>
      </c>
      <c r="F390" s="5">
        <v>310.25</v>
      </c>
      <c r="G390" s="4" t="str">
        <f t="shared" si="6"/>
        <v>2025 May</v>
      </c>
    </row>
    <row r="391" spans="1:7">
      <c r="A391">
        <v>1390</v>
      </c>
      <c r="B391" t="s">
        <v>48</v>
      </c>
      <c r="C391" s="1">
        <v>45788</v>
      </c>
      <c r="D391" t="s">
        <v>35</v>
      </c>
      <c r="E391" t="s">
        <v>18</v>
      </c>
      <c r="F391" s="5">
        <v>97.1</v>
      </c>
      <c r="G391" s="4" t="str">
        <f t="shared" si="6"/>
        <v>2025 May</v>
      </c>
    </row>
    <row r="392" spans="1:7">
      <c r="A392">
        <v>1391</v>
      </c>
      <c r="B392" t="s">
        <v>41</v>
      </c>
      <c r="C392" s="1">
        <v>45789</v>
      </c>
      <c r="D392" t="s">
        <v>33</v>
      </c>
      <c r="E392" t="s">
        <v>16</v>
      </c>
      <c r="F392" s="5">
        <v>78.569999999999993</v>
      </c>
      <c r="G392" s="4" t="str">
        <f t="shared" si="6"/>
        <v>2025 May</v>
      </c>
    </row>
    <row r="393" spans="1:7">
      <c r="A393">
        <v>1392</v>
      </c>
      <c r="B393" t="s">
        <v>15</v>
      </c>
      <c r="C393" s="1">
        <v>45790</v>
      </c>
      <c r="D393" t="s">
        <v>35</v>
      </c>
      <c r="E393" t="s">
        <v>27</v>
      </c>
      <c r="F393" s="5">
        <v>330.09</v>
      </c>
      <c r="G393" s="4" t="str">
        <f t="shared" si="6"/>
        <v>2025 May</v>
      </c>
    </row>
    <row r="394" spans="1:7">
      <c r="A394">
        <v>1393</v>
      </c>
      <c r="B394" t="s">
        <v>22</v>
      </c>
      <c r="C394" s="1">
        <v>45791</v>
      </c>
      <c r="D394" t="s">
        <v>34</v>
      </c>
      <c r="E394" t="s">
        <v>20</v>
      </c>
      <c r="F394" s="5">
        <v>311.45</v>
      </c>
      <c r="G394" s="4" t="str">
        <f t="shared" si="6"/>
        <v>2025 May</v>
      </c>
    </row>
    <row r="395" spans="1:7">
      <c r="A395">
        <v>1394</v>
      </c>
      <c r="B395" t="s">
        <v>48</v>
      </c>
      <c r="C395" s="1">
        <v>45792</v>
      </c>
      <c r="D395" t="s">
        <v>14</v>
      </c>
      <c r="E395" t="s">
        <v>9</v>
      </c>
      <c r="F395" s="5">
        <v>242.56</v>
      </c>
      <c r="G395" s="4" t="str">
        <f t="shared" si="6"/>
        <v>2025 May</v>
      </c>
    </row>
    <row r="396" spans="1:7">
      <c r="A396">
        <v>1395</v>
      </c>
      <c r="B396" t="s">
        <v>25</v>
      </c>
      <c r="C396" s="1">
        <v>45793</v>
      </c>
      <c r="D396" t="s">
        <v>14</v>
      </c>
      <c r="E396" t="s">
        <v>24</v>
      </c>
      <c r="F396" s="5">
        <v>187.33</v>
      </c>
      <c r="G396" s="4" t="str">
        <f t="shared" si="6"/>
        <v>2025 May</v>
      </c>
    </row>
    <row r="397" spans="1:7">
      <c r="A397">
        <v>1396</v>
      </c>
      <c r="B397" t="s">
        <v>32</v>
      </c>
      <c r="C397" s="1">
        <v>45794</v>
      </c>
      <c r="D397" t="s">
        <v>33</v>
      </c>
      <c r="E397" t="s">
        <v>27</v>
      </c>
      <c r="F397" s="5">
        <v>325.87</v>
      </c>
      <c r="G397" s="4" t="str">
        <f t="shared" si="6"/>
        <v>2025 May</v>
      </c>
    </row>
    <row r="398" spans="1:7">
      <c r="A398">
        <v>1397</v>
      </c>
      <c r="B398" t="s">
        <v>17</v>
      </c>
      <c r="C398" s="1">
        <v>45795</v>
      </c>
      <c r="D398" t="s">
        <v>34</v>
      </c>
      <c r="E398" t="s">
        <v>16</v>
      </c>
      <c r="F398" s="5">
        <v>153.47999999999999</v>
      </c>
      <c r="G398" s="4" t="str">
        <f t="shared" si="6"/>
        <v>2025 May</v>
      </c>
    </row>
    <row r="399" spans="1:7">
      <c r="A399">
        <v>1398</v>
      </c>
      <c r="B399" t="s">
        <v>36</v>
      </c>
      <c r="C399" s="1">
        <v>45796</v>
      </c>
      <c r="D399" t="s">
        <v>26</v>
      </c>
      <c r="E399" t="s">
        <v>24</v>
      </c>
      <c r="F399" s="5">
        <v>216.4</v>
      </c>
      <c r="G399" s="4" t="str">
        <f t="shared" si="6"/>
        <v>2025 May</v>
      </c>
    </row>
    <row r="400" spans="1:7">
      <c r="A400">
        <v>1399</v>
      </c>
      <c r="B400" t="s">
        <v>49</v>
      </c>
      <c r="C400" s="1">
        <v>45797</v>
      </c>
      <c r="D400" t="s">
        <v>35</v>
      </c>
      <c r="E400" t="s">
        <v>9</v>
      </c>
      <c r="F400" s="5">
        <v>131.94999999999999</v>
      </c>
      <c r="G400" s="4" t="str">
        <f t="shared" si="6"/>
        <v>2025 May</v>
      </c>
    </row>
    <row r="401" spans="1:7">
      <c r="A401">
        <v>1400</v>
      </c>
      <c r="B401" t="s">
        <v>48</v>
      </c>
      <c r="C401" s="1">
        <v>45798</v>
      </c>
      <c r="D401" t="s">
        <v>8</v>
      </c>
      <c r="E401" t="s">
        <v>18</v>
      </c>
      <c r="F401" s="5">
        <v>340.78</v>
      </c>
      <c r="G401" s="4" t="str">
        <f t="shared" si="6"/>
        <v>2025 May</v>
      </c>
    </row>
    <row r="402" spans="1:7">
      <c r="A402">
        <v>1401</v>
      </c>
      <c r="B402" t="s">
        <v>15</v>
      </c>
      <c r="C402" s="1">
        <v>45799</v>
      </c>
      <c r="D402" t="s">
        <v>23</v>
      </c>
      <c r="E402" t="s">
        <v>18</v>
      </c>
      <c r="F402" s="5">
        <v>442.31</v>
      </c>
      <c r="G402" s="4" t="str">
        <f t="shared" si="6"/>
        <v>2025 May</v>
      </c>
    </row>
    <row r="403" spans="1:7">
      <c r="A403">
        <v>1402</v>
      </c>
      <c r="B403" t="s">
        <v>15</v>
      </c>
      <c r="C403" s="1">
        <v>45800</v>
      </c>
      <c r="D403" t="s">
        <v>40</v>
      </c>
      <c r="E403" t="s">
        <v>27</v>
      </c>
      <c r="F403" s="5">
        <v>407.74</v>
      </c>
      <c r="G403" s="4" t="str">
        <f t="shared" si="6"/>
        <v>2025 May</v>
      </c>
    </row>
    <row r="404" spans="1:7">
      <c r="A404">
        <v>1403</v>
      </c>
      <c r="B404" t="s">
        <v>13</v>
      </c>
      <c r="C404" s="1">
        <v>45801</v>
      </c>
      <c r="D404" t="s">
        <v>35</v>
      </c>
      <c r="E404" t="s">
        <v>47</v>
      </c>
      <c r="F404" s="5">
        <v>83.5</v>
      </c>
      <c r="G404" s="4" t="str">
        <f t="shared" si="6"/>
        <v>2025 May</v>
      </c>
    </row>
    <row r="405" spans="1:7">
      <c r="A405">
        <v>1404</v>
      </c>
      <c r="B405" t="s">
        <v>22</v>
      </c>
      <c r="C405" s="1">
        <v>45802</v>
      </c>
      <c r="D405" t="s">
        <v>40</v>
      </c>
      <c r="E405" t="s">
        <v>20</v>
      </c>
      <c r="F405" s="5">
        <v>345.32</v>
      </c>
      <c r="G405" s="4" t="str">
        <f t="shared" si="6"/>
        <v>2025 May</v>
      </c>
    </row>
    <row r="406" spans="1:7">
      <c r="A406">
        <v>1405</v>
      </c>
      <c r="B406" t="s">
        <v>28</v>
      </c>
      <c r="C406" s="1">
        <v>45803</v>
      </c>
      <c r="D406" t="s">
        <v>38</v>
      </c>
      <c r="E406" t="s">
        <v>47</v>
      </c>
      <c r="F406" s="5">
        <v>422.26</v>
      </c>
      <c r="G406" s="4" t="str">
        <f t="shared" si="6"/>
        <v>2025 May</v>
      </c>
    </row>
    <row r="407" spans="1:7">
      <c r="A407">
        <v>1406</v>
      </c>
      <c r="B407" t="s">
        <v>25</v>
      </c>
      <c r="C407" s="1">
        <v>45804</v>
      </c>
      <c r="D407" t="s">
        <v>34</v>
      </c>
      <c r="E407" t="s">
        <v>16</v>
      </c>
      <c r="F407" s="5">
        <v>478.18</v>
      </c>
      <c r="G407" s="4" t="str">
        <f t="shared" si="6"/>
        <v>2025 May</v>
      </c>
    </row>
    <row r="408" spans="1:7">
      <c r="A408">
        <v>1407</v>
      </c>
      <c r="B408" t="s">
        <v>45</v>
      </c>
      <c r="C408" s="1">
        <v>45805</v>
      </c>
      <c r="D408" t="s">
        <v>11</v>
      </c>
      <c r="E408" t="s">
        <v>20</v>
      </c>
      <c r="F408" s="5">
        <v>287.14</v>
      </c>
      <c r="G408" s="4" t="str">
        <f t="shared" si="6"/>
        <v>2025 May</v>
      </c>
    </row>
    <row r="409" spans="1:7">
      <c r="A409">
        <v>1408</v>
      </c>
      <c r="B409" t="s">
        <v>15</v>
      </c>
      <c r="C409" s="1">
        <v>45806</v>
      </c>
      <c r="D409" t="s">
        <v>26</v>
      </c>
      <c r="E409" t="s">
        <v>12</v>
      </c>
      <c r="F409" s="5">
        <v>136.22999999999999</v>
      </c>
      <c r="G409" s="4" t="str">
        <f t="shared" si="6"/>
        <v>2025 May</v>
      </c>
    </row>
    <row r="410" spans="1:7">
      <c r="A410">
        <v>1409</v>
      </c>
      <c r="B410" t="s">
        <v>10</v>
      </c>
      <c r="C410" s="1">
        <v>45807</v>
      </c>
      <c r="D410" t="s">
        <v>29</v>
      </c>
      <c r="E410" t="s">
        <v>16</v>
      </c>
      <c r="F410" s="5">
        <v>488.31</v>
      </c>
      <c r="G410" s="4" t="str">
        <f t="shared" si="6"/>
        <v>2025 May</v>
      </c>
    </row>
    <row r="411" spans="1:7">
      <c r="A411">
        <v>1410</v>
      </c>
      <c r="B411" t="s">
        <v>25</v>
      </c>
      <c r="C411" s="1">
        <v>45808</v>
      </c>
      <c r="D411" t="s">
        <v>33</v>
      </c>
      <c r="E411" t="s">
        <v>18</v>
      </c>
      <c r="F411" s="5">
        <v>68.42</v>
      </c>
      <c r="G411" s="4" t="str">
        <f t="shared" si="6"/>
        <v>2025 May</v>
      </c>
    </row>
    <row r="412" spans="1:7">
      <c r="A412">
        <v>1411</v>
      </c>
      <c r="B412" t="s">
        <v>43</v>
      </c>
      <c r="C412" s="1">
        <v>45809</v>
      </c>
      <c r="D412" t="s">
        <v>33</v>
      </c>
      <c r="E412" t="s">
        <v>47</v>
      </c>
      <c r="F412" s="5">
        <v>341.77</v>
      </c>
      <c r="G412" s="4" t="str">
        <f t="shared" si="6"/>
        <v>2025 Jun</v>
      </c>
    </row>
    <row r="413" spans="1:7">
      <c r="A413">
        <v>1412</v>
      </c>
      <c r="B413" t="s">
        <v>15</v>
      </c>
      <c r="C413" s="1">
        <v>45810</v>
      </c>
      <c r="D413" t="s">
        <v>33</v>
      </c>
      <c r="E413" t="s">
        <v>27</v>
      </c>
      <c r="F413" s="5">
        <v>456.25</v>
      </c>
      <c r="G413" s="4" t="str">
        <f t="shared" si="6"/>
        <v>2025 Jun</v>
      </c>
    </row>
    <row r="414" spans="1:7">
      <c r="A414">
        <v>1413</v>
      </c>
      <c r="B414" t="s">
        <v>41</v>
      </c>
      <c r="C414" s="1">
        <v>45811</v>
      </c>
      <c r="D414" t="s">
        <v>35</v>
      </c>
      <c r="E414" t="s">
        <v>18</v>
      </c>
      <c r="F414" s="5">
        <v>447.66</v>
      </c>
      <c r="G414" s="4" t="str">
        <f t="shared" si="6"/>
        <v>2025 Jun</v>
      </c>
    </row>
    <row r="415" spans="1:7">
      <c r="A415">
        <v>1414</v>
      </c>
      <c r="B415" t="s">
        <v>44</v>
      </c>
      <c r="C415" s="1">
        <v>45812</v>
      </c>
      <c r="D415" t="s">
        <v>35</v>
      </c>
      <c r="E415" t="s">
        <v>46</v>
      </c>
      <c r="F415" s="5">
        <v>208.92</v>
      </c>
      <c r="G415" s="4" t="str">
        <f t="shared" si="6"/>
        <v>2025 Jun</v>
      </c>
    </row>
    <row r="416" spans="1:7">
      <c r="A416">
        <v>1415</v>
      </c>
      <c r="B416" t="s">
        <v>10</v>
      </c>
      <c r="C416" s="1">
        <v>45813</v>
      </c>
      <c r="D416" t="s">
        <v>29</v>
      </c>
      <c r="E416" t="s">
        <v>9</v>
      </c>
      <c r="F416" s="5">
        <v>153.79</v>
      </c>
      <c r="G416" s="4" t="str">
        <f t="shared" si="6"/>
        <v>2025 Jun</v>
      </c>
    </row>
    <row r="417" spans="1:7">
      <c r="A417">
        <v>1416</v>
      </c>
      <c r="B417" t="s">
        <v>25</v>
      </c>
      <c r="C417" s="1">
        <v>45814</v>
      </c>
      <c r="D417" t="s">
        <v>30</v>
      </c>
      <c r="E417" t="s">
        <v>9</v>
      </c>
      <c r="F417" s="5">
        <v>126.23</v>
      </c>
      <c r="G417" s="4" t="str">
        <f t="shared" si="6"/>
        <v>2025 Jun</v>
      </c>
    </row>
    <row r="418" spans="1:7">
      <c r="A418">
        <v>1417</v>
      </c>
      <c r="B418" t="s">
        <v>44</v>
      </c>
      <c r="C418" s="1">
        <v>45815</v>
      </c>
      <c r="D418" t="s">
        <v>8</v>
      </c>
      <c r="E418" t="s">
        <v>27</v>
      </c>
      <c r="F418" s="5">
        <v>63.21</v>
      </c>
      <c r="G418" s="4" t="str">
        <f t="shared" si="6"/>
        <v>2025 Jun</v>
      </c>
    </row>
    <row r="419" spans="1:7">
      <c r="A419">
        <v>1418</v>
      </c>
      <c r="B419" t="s">
        <v>21</v>
      </c>
      <c r="C419" s="1">
        <v>45816</v>
      </c>
      <c r="D419" t="s">
        <v>23</v>
      </c>
      <c r="E419" t="s">
        <v>12</v>
      </c>
      <c r="F419" s="5">
        <v>356.03</v>
      </c>
      <c r="G419" s="4" t="str">
        <f t="shared" si="6"/>
        <v>2025 Jun</v>
      </c>
    </row>
    <row r="420" spans="1:7">
      <c r="A420">
        <v>1419</v>
      </c>
      <c r="B420" t="s">
        <v>15</v>
      </c>
      <c r="C420" s="1">
        <v>45817</v>
      </c>
      <c r="D420" t="s">
        <v>29</v>
      </c>
      <c r="E420" t="s">
        <v>12</v>
      </c>
      <c r="F420" s="5">
        <v>131.36000000000001</v>
      </c>
      <c r="G420" s="4" t="str">
        <f t="shared" si="6"/>
        <v>2025 Jun</v>
      </c>
    </row>
    <row r="421" spans="1:7">
      <c r="A421">
        <v>1420</v>
      </c>
      <c r="B421" t="s">
        <v>19</v>
      </c>
      <c r="C421" s="1">
        <v>45818</v>
      </c>
      <c r="D421" t="s">
        <v>26</v>
      </c>
      <c r="E421" t="s">
        <v>16</v>
      </c>
      <c r="F421" s="5">
        <v>309.25</v>
      </c>
      <c r="G421" s="4" t="str">
        <f t="shared" si="6"/>
        <v>2025 Jun</v>
      </c>
    </row>
    <row r="422" spans="1:7">
      <c r="A422">
        <v>1421</v>
      </c>
      <c r="B422" t="s">
        <v>43</v>
      </c>
      <c r="C422" s="1">
        <v>45819</v>
      </c>
      <c r="D422" t="s">
        <v>11</v>
      </c>
      <c r="E422" t="s">
        <v>31</v>
      </c>
      <c r="F422" s="5">
        <v>307.93</v>
      </c>
      <c r="G422" s="4" t="str">
        <f t="shared" si="6"/>
        <v>2025 Jun</v>
      </c>
    </row>
    <row r="423" spans="1:7">
      <c r="A423">
        <v>1422</v>
      </c>
      <c r="B423" t="s">
        <v>44</v>
      </c>
      <c r="C423" s="1">
        <v>45820</v>
      </c>
      <c r="D423" t="s">
        <v>40</v>
      </c>
      <c r="E423" t="s">
        <v>24</v>
      </c>
      <c r="F423" s="5">
        <v>262.74</v>
      </c>
      <c r="G423" s="4" t="str">
        <f t="shared" si="6"/>
        <v>2025 Jun</v>
      </c>
    </row>
    <row r="424" spans="1:7">
      <c r="A424">
        <v>1423</v>
      </c>
      <c r="B424" t="s">
        <v>39</v>
      </c>
      <c r="C424" s="1">
        <v>45821</v>
      </c>
      <c r="D424" t="s">
        <v>29</v>
      </c>
      <c r="E424" t="s">
        <v>18</v>
      </c>
      <c r="F424" s="5">
        <v>339.21</v>
      </c>
      <c r="G424" s="4" t="str">
        <f t="shared" si="6"/>
        <v>2025 Jun</v>
      </c>
    </row>
    <row r="425" spans="1:7">
      <c r="A425">
        <v>1424</v>
      </c>
      <c r="B425" t="s">
        <v>21</v>
      </c>
      <c r="C425" s="1">
        <v>45822</v>
      </c>
      <c r="D425" t="s">
        <v>29</v>
      </c>
      <c r="E425" t="s">
        <v>18</v>
      </c>
      <c r="F425" s="5">
        <v>75.930000000000007</v>
      </c>
      <c r="G425" s="4" t="str">
        <f t="shared" si="6"/>
        <v>2025 Jun</v>
      </c>
    </row>
    <row r="426" spans="1:7">
      <c r="A426">
        <v>1425</v>
      </c>
      <c r="B426" t="s">
        <v>32</v>
      </c>
      <c r="C426" s="1">
        <v>45823</v>
      </c>
      <c r="D426" t="s">
        <v>40</v>
      </c>
      <c r="E426" t="s">
        <v>31</v>
      </c>
      <c r="F426" s="5">
        <v>229.9</v>
      </c>
      <c r="G426" s="4" t="str">
        <f t="shared" si="6"/>
        <v>2025 Jun</v>
      </c>
    </row>
    <row r="427" spans="1:7">
      <c r="A427">
        <v>1426</v>
      </c>
      <c r="B427" t="s">
        <v>43</v>
      </c>
      <c r="C427" s="1">
        <v>45824</v>
      </c>
      <c r="D427" t="s">
        <v>38</v>
      </c>
      <c r="E427" t="s">
        <v>16</v>
      </c>
      <c r="F427" s="5">
        <v>89.97</v>
      </c>
      <c r="G427" s="4" t="str">
        <f t="shared" si="6"/>
        <v>2025 Jun</v>
      </c>
    </row>
    <row r="428" spans="1:7">
      <c r="A428">
        <v>1427</v>
      </c>
      <c r="B428" t="s">
        <v>13</v>
      </c>
      <c r="C428" s="1">
        <v>45825</v>
      </c>
      <c r="D428" t="s">
        <v>11</v>
      </c>
      <c r="E428" t="s">
        <v>24</v>
      </c>
      <c r="F428" s="5">
        <v>473.59</v>
      </c>
      <c r="G428" s="4" t="str">
        <f t="shared" si="6"/>
        <v>2025 Jun</v>
      </c>
    </row>
    <row r="429" spans="1:7">
      <c r="A429">
        <v>1428</v>
      </c>
      <c r="B429" t="s">
        <v>43</v>
      </c>
      <c r="C429" s="1">
        <v>45826</v>
      </c>
      <c r="D429" t="s">
        <v>14</v>
      </c>
      <c r="E429" t="s">
        <v>16</v>
      </c>
      <c r="F429" s="5">
        <v>99.3</v>
      </c>
      <c r="G429" s="4" t="str">
        <f t="shared" si="6"/>
        <v>2025 Jun</v>
      </c>
    </row>
    <row r="430" spans="1:7">
      <c r="A430">
        <v>1429</v>
      </c>
      <c r="B430" t="s">
        <v>28</v>
      </c>
      <c r="C430" s="1">
        <v>45827</v>
      </c>
      <c r="D430" t="s">
        <v>8</v>
      </c>
      <c r="E430" t="s">
        <v>12</v>
      </c>
      <c r="F430" s="5">
        <v>175.4</v>
      </c>
      <c r="G430" s="4" t="str">
        <f t="shared" si="6"/>
        <v>2025 Jun</v>
      </c>
    </row>
    <row r="431" spans="1:7">
      <c r="A431">
        <v>1430</v>
      </c>
      <c r="B431" t="s">
        <v>36</v>
      </c>
      <c r="C431" s="1">
        <v>45828</v>
      </c>
      <c r="D431" t="s">
        <v>26</v>
      </c>
      <c r="E431" t="s">
        <v>47</v>
      </c>
      <c r="F431" s="5">
        <v>222.65</v>
      </c>
      <c r="G431" s="4" t="str">
        <f t="shared" si="6"/>
        <v>2025 Jun</v>
      </c>
    </row>
    <row r="432" spans="1:7">
      <c r="A432">
        <v>1431</v>
      </c>
      <c r="B432" t="s">
        <v>17</v>
      </c>
      <c r="C432" s="1">
        <v>45829</v>
      </c>
      <c r="D432" t="s">
        <v>14</v>
      </c>
      <c r="E432" t="s">
        <v>47</v>
      </c>
      <c r="F432" s="5">
        <v>392.9</v>
      </c>
      <c r="G432" s="4" t="str">
        <f t="shared" si="6"/>
        <v>2025 Jun</v>
      </c>
    </row>
    <row r="433" spans="1:7">
      <c r="A433">
        <v>1432</v>
      </c>
      <c r="B433" t="s">
        <v>48</v>
      </c>
      <c r="C433" s="1">
        <v>45830</v>
      </c>
      <c r="D433" t="s">
        <v>23</v>
      </c>
      <c r="E433" t="s">
        <v>20</v>
      </c>
      <c r="F433" s="5">
        <v>114.62</v>
      </c>
      <c r="G433" s="4" t="str">
        <f t="shared" si="6"/>
        <v>2025 Jun</v>
      </c>
    </row>
    <row r="434" spans="1:7">
      <c r="A434">
        <v>1433</v>
      </c>
      <c r="B434" t="s">
        <v>10</v>
      </c>
      <c r="C434" s="1">
        <v>45831</v>
      </c>
      <c r="D434" t="s">
        <v>38</v>
      </c>
      <c r="E434" t="s">
        <v>47</v>
      </c>
      <c r="F434" s="5">
        <v>135.88</v>
      </c>
      <c r="G434" s="4" t="str">
        <f t="shared" si="6"/>
        <v>2025 Jun</v>
      </c>
    </row>
    <row r="435" spans="1:7">
      <c r="A435">
        <v>1434</v>
      </c>
      <c r="B435" t="s">
        <v>15</v>
      </c>
      <c r="C435" s="1">
        <v>45832</v>
      </c>
      <c r="D435" t="s">
        <v>34</v>
      </c>
      <c r="E435" t="s">
        <v>12</v>
      </c>
      <c r="F435" s="5">
        <v>326.32</v>
      </c>
      <c r="G435" s="4" t="str">
        <f t="shared" si="6"/>
        <v>2025 Jun</v>
      </c>
    </row>
    <row r="436" spans="1:7">
      <c r="A436">
        <v>1435</v>
      </c>
      <c r="B436" t="s">
        <v>49</v>
      </c>
      <c r="C436" s="1">
        <v>45833</v>
      </c>
      <c r="D436" t="s">
        <v>38</v>
      </c>
      <c r="E436" t="s">
        <v>20</v>
      </c>
      <c r="F436" s="5">
        <v>233.86</v>
      </c>
      <c r="G436" s="4" t="str">
        <f t="shared" si="6"/>
        <v>2025 Jun</v>
      </c>
    </row>
    <row r="437" spans="1:7">
      <c r="A437">
        <v>1436</v>
      </c>
      <c r="B437" t="s">
        <v>28</v>
      </c>
      <c r="C437" s="1">
        <v>45834</v>
      </c>
      <c r="D437" t="s">
        <v>30</v>
      </c>
      <c r="E437" t="s">
        <v>20</v>
      </c>
      <c r="F437" s="5">
        <v>90.86</v>
      </c>
      <c r="G437" s="4" t="str">
        <f t="shared" si="6"/>
        <v>2025 Jun</v>
      </c>
    </row>
    <row r="438" spans="1:7">
      <c r="A438">
        <v>1437</v>
      </c>
      <c r="B438" t="s">
        <v>45</v>
      </c>
      <c r="C438" s="1">
        <v>45835</v>
      </c>
      <c r="D438" t="s">
        <v>35</v>
      </c>
      <c r="E438" t="s">
        <v>27</v>
      </c>
      <c r="F438" s="5">
        <v>65.209999999999994</v>
      </c>
      <c r="G438" s="4" t="str">
        <f t="shared" si="6"/>
        <v>2025 Jun</v>
      </c>
    </row>
    <row r="439" spans="1:7">
      <c r="A439">
        <v>1438</v>
      </c>
      <c r="B439" t="s">
        <v>37</v>
      </c>
      <c r="C439" s="1">
        <v>45836</v>
      </c>
      <c r="D439" t="s">
        <v>26</v>
      </c>
      <c r="E439" t="s">
        <v>9</v>
      </c>
      <c r="F439" s="5">
        <v>427.92</v>
      </c>
      <c r="G439" s="4" t="str">
        <f t="shared" si="6"/>
        <v>2025 Jun</v>
      </c>
    </row>
    <row r="440" spans="1:7">
      <c r="A440">
        <v>1439</v>
      </c>
      <c r="B440" t="s">
        <v>22</v>
      </c>
      <c r="C440" s="1">
        <v>45837</v>
      </c>
      <c r="D440" t="s">
        <v>40</v>
      </c>
      <c r="E440" t="s">
        <v>27</v>
      </c>
      <c r="F440" s="5">
        <v>267.62</v>
      </c>
      <c r="G440" s="4" t="str">
        <f t="shared" si="6"/>
        <v>2025 Jun</v>
      </c>
    </row>
    <row r="441" spans="1:7">
      <c r="A441">
        <v>1440</v>
      </c>
      <c r="B441" t="s">
        <v>17</v>
      </c>
      <c r="C441" s="1">
        <v>45838</v>
      </c>
      <c r="D441" t="s">
        <v>26</v>
      </c>
      <c r="E441" t="s">
        <v>12</v>
      </c>
      <c r="F441" s="5">
        <v>363.09</v>
      </c>
      <c r="G441" s="4" t="str">
        <f t="shared" si="6"/>
        <v>2025 Jun</v>
      </c>
    </row>
    <row r="442" spans="1:7">
      <c r="A442">
        <v>1441</v>
      </c>
      <c r="B442" t="s">
        <v>25</v>
      </c>
      <c r="C442" s="1">
        <v>45839</v>
      </c>
      <c r="D442" t="s">
        <v>40</v>
      </c>
      <c r="E442" t="s">
        <v>31</v>
      </c>
      <c r="F442" s="5">
        <v>455.46</v>
      </c>
      <c r="G442" s="4" t="str">
        <f t="shared" si="6"/>
        <v>2025 Jul</v>
      </c>
    </row>
    <row r="443" spans="1:7">
      <c r="A443">
        <v>1442</v>
      </c>
      <c r="B443" t="s">
        <v>28</v>
      </c>
      <c r="C443" s="1">
        <v>45840</v>
      </c>
      <c r="D443" t="s">
        <v>40</v>
      </c>
      <c r="E443" t="s">
        <v>47</v>
      </c>
      <c r="F443" s="5">
        <v>231.17</v>
      </c>
      <c r="G443" s="4" t="str">
        <f t="shared" si="6"/>
        <v>2025 Jul</v>
      </c>
    </row>
    <row r="444" spans="1:7">
      <c r="A444">
        <v>1443</v>
      </c>
      <c r="B444" t="s">
        <v>44</v>
      </c>
      <c r="C444" s="1">
        <v>45841</v>
      </c>
      <c r="D444" t="s">
        <v>8</v>
      </c>
      <c r="E444" t="s">
        <v>9</v>
      </c>
      <c r="F444" s="5">
        <v>308.88</v>
      </c>
      <c r="G444" s="4" t="str">
        <f t="shared" si="6"/>
        <v>2025 Jul</v>
      </c>
    </row>
    <row r="445" spans="1:7">
      <c r="A445">
        <v>1444</v>
      </c>
      <c r="B445" t="s">
        <v>22</v>
      </c>
      <c r="C445" s="1">
        <v>45842</v>
      </c>
      <c r="D445" t="s">
        <v>8</v>
      </c>
      <c r="E445" t="s">
        <v>31</v>
      </c>
      <c r="F445" s="5">
        <v>488.3</v>
      </c>
      <c r="G445" s="4" t="str">
        <f t="shared" si="6"/>
        <v>2025 Jul</v>
      </c>
    </row>
    <row r="446" spans="1:7">
      <c r="A446">
        <v>1445</v>
      </c>
      <c r="B446" t="s">
        <v>25</v>
      </c>
      <c r="C446" s="1">
        <v>45843</v>
      </c>
      <c r="D446" t="s">
        <v>26</v>
      </c>
      <c r="E446" t="s">
        <v>18</v>
      </c>
      <c r="F446" s="5">
        <v>44.99</v>
      </c>
      <c r="G446" s="4" t="str">
        <f t="shared" si="6"/>
        <v>2025 Jul</v>
      </c>
    </row>
    <row r="447" spans="1:7">
      <c r="A447">
        <v>1446</v>
      </c>
      <c r="B447" t="s">
        <v>22</v>
      </c>
      <c r="C447" s="1">
        <v>45844</v>
      </c>
      <c r="D447" t="s">
        <v>34</v>
      </c>
      <c r="E447" t="s">
        <v>9</v>
      </c>
      <c r="F447" s="5">
        <v>336.59</v>
      </c>
      <c r="G447" s="4" t="str">
        <f t="shared" si="6"/>
        <v>2025 Jul</v>
      </c>
    </row>
    <row r="448" spans="1:7">
      <c r="A448">
        <v>1447</v>
      </c>
      <c r="B448" t="s">
        <v>22</v>
      </c>
      <c r="C448" s="1">
        <v>45845</v>
      </c>
      <c r="D448" t="s">
        <v>14</v>
      </c>
      <c r="E448" t="s">
        <v>12</v>
      </c>
      <c r="F448" s="5">
        <v>154.80000000000001</v>
      </c>
      <c r="G448" s="4" t="str">
        <f t="shared" si="6"/>
        <v>2025 Jul</v>
      </c>
    </row>
    <row r="449" spans="1:7">
      <c r="A449">
        <v>1448</v>
      </c>
      <c r="B449" t="s">
        <v>39</v>
      </c>
      <c r="C449" s="1">
        <v>45846</v>
      </c>
      <c r="D449" t="s">
        <v>30</v>
      </c>
      <c r="E449" t="s">
        <v>46</v>
      </c>
      <c r="F449" s="5">
        <v>496.32</v>
      </c>
      <c r="G449" s="4" t="str">
        <f t="shared" si="6"/>
        <v>2025 Jul</v>
      </c>
    </row>
    <row r="450" spans="1:7">
      <c r="A450">
        <v>1449</v>
      </c>
      <c r="B450" t="s">
        <v>7</v>
      </c>
      <c r="C450" s="1">
        <v>45847</v>
      </c>
      <c r="D450" t="s">
        <v>30</v>
      </c>
      <c r="E450" t="s">
        <v>9</v>
      </c>
      <c r="F450" s="5">
        <v>280.8</v>
      </c>
      <c r="G450" s="4" t="str">
        <f t="shared" ref="G450:G501" si="7">TEXT(C450,"yyyy mmm")</f>
        <v>2025 Jul</v>
      </c>
    </row>
    <row r="451" spans="1:7">
      <c r="A451">
        <v>1450</v>
      </c>
      <c r="B451" t="s">
        <v>37</v>
      </c>
      <c r="C451" s="1">
        <v>45848</v>
      </c>
      <c r="D451" t="s">
        <v>40</v>
      </c>
      <c r="E451" t="s">
        <v>31</v>
      </c>
      <c r="F451" s="5">
        <v>214.06</v>
      </c>
      <c r="G451" s="4" t="str">
        <f t="shared" si="7"/>
        <v>2025 Jul</v>
      </c>
    </row>
    <row r="452" spans="1:7">
      <c r="A452">
        <v>1451</v>
      </c>
      <c r="B452" t="s">
        <v>28</v>
      </c>
      <c r="C452" s="1">
        <v>45849</v>
      </c>
      <c r="D452" t="s">
        <v>40</v>
      </c>
      <c r="E452" t="s">
        <v>18</v>
      </c>
      <c r="F452" s="5">
        <v>153.96</v>
      </c>
      <c r="G452" s="4" t="str">
        <f t="shared" si="7"/>
        <v>2025 Jul</v>
      </c>
    </row>
    <row r="453" spans="1:7">
      <c r="A453">
        <v>1452</v>
      </c>
      <c r="B453" t="s">
        <v>17</v>
      </c>
      <c r="C453" s="1">
        <v>45850</v>
      </c>
      <c r="D453" t="s">
        <v>23</v>
      </c>
      <c r="E453" t="s">
        <v>27</v>
      </c>
      <c r="F453" s="5">
        <v>52.85</v>
      </c>
      <c r="G453" s="4" t="str">
        <f t="shared" si="7"/>
        <v>2025 Jul</v>
      </c>
    </row>
    <row r="454" spans="1:7">
      <c r="A454">
        <v>1453</v>
      </c>
      <c r="B454" t="s">
        <v>19</v>
      </c>
      <c r="C454" s="1">
        <v>45851</v>
      </c>
      <c r="D454" t="s">
        <v>38</v>
      </c>
      <c r="E454" t="s">
        <v>46</v>
      </c>
      <c r="F454" s="5">
        <v>104.43</v>
      </c>
      <c r="G454" s="4" t="str">
        <f t="shared" si="7"/>
        <v>2025 Jul</v>
      </c>
    </row>
    <row r="455" spans="1:7">
      <c r="A455">
        <v>1454</v>
      </c>
      <c r="B455" t="s">
        <v>45</v>
      </c>
      <c r="C455" s="1">
        <v>45852</v>
      </c>
      <c r="D455" t="s">
        <v>30</v>
      </c>
      <c r="E455" t="s">
        <v>20</v>
      </c>
      <c r="F455" s="5">
        <v>209.15</v>
      </c>
      <c r="G455" s="4" t="str">
        <f t="shared" si="7"/>
        <v>2025 Jul</v>
      </c>
    </row>
    <row r="456" spans="1:7">
      <c r="A456">
        <v>1455</v>
      </c>
      <c r="B456" t="s">
        <v>21</v>
      </c>
      <c r="C456" s="1">
        <v>45853</v>
      </c>
      <c r="D456" t="s">
        <v>33</v>
      </c>
      <c r="E456" t="s">
        <v>27</v>
      </c>
      <c r="F456" s="5">
        <v>433.42</v>
      </c>
      <c r="G456" s="4" t="str">
        <f t="shared" si="7"/>
        <v>2025 Jul</v>
      </c>
    </row>
    <row r="457" spans="1:7">
      <c r="A457">
        <v>1456</v>
      </c>
      <c r="B457" t="s">
        <v>25</v>
      </c>
      <c r="C457" s="1">
        <v>45854</v>
      </c>
      <c r="D457" t="s">
        <v>38</v>
      </c>
      <c r="E457" t="s">
        <v>31</v>
      </c>
      <c r="F457" s="5">
        <v>70.760000000000005</v>
      </c>
      <c r="G457" s="4" t="str">
        <f t="shared" si="7"/>
        <v>2025 Jul</v>
      </c>
    </row>
    <row r="458" spans="1:7">
      <c r="A458">
        <v>1457</v>
      </c>
      <c r="B458" t="s">
        <v>39</v>
      </c>
      <c r="C458" s="1">
        <v>45855</v>
      </c>
      <c r="D458" t="s">
        <v>11</v>
      </c>
      <c r="E458" t="s">
        <v>27</v>
      </c>
      <c r="F458" s="5">
        <v>128.36000000000001</v>
      </c>
      <c r="G458" s="4" t="str">
        <f t="shared" si="7"/>
        <v>2025 Jul</v>
      </c>
    </row>
    <row r="459" spans="1:7">
      <c r="A459">
        <v>1458</v>
      </c>
      <c r="B459" t="s">
        <v>25</v>
      </c>
      <c r="C459" s="1">
        <v>45856</v>
      </c>
      <c r="D459" t="s">
        <v>29</v>
      </c>
      <c r="E459" t="s">
        <v>18</v>
      </c>
      <c r="F459" s="5">
        <v>74.08</v>
      </c>
      <c r="G459" s="4" t="str">
        <f t="shared" si="7"/>
        <v>2025 Jul</v>
      </c>
    </row>
    <row r="460" spans="1:7">
      <c r="A460">
        <v>1459</v>
      </c>
      <c r="B460" t="s">
        <v>28</v>
      </c>
      <c r="C460" s="1">
        <v>45857</v>
      </c>
      <c r="D460" t="s">
        <v>34</v>
      </c>
      <c r="E460" t="s">
        <v>24</v>
      </c>
      <c r="F460" s="5">
        <v>35.020000000000003</v>
      </c>
      <c r="G460" s="4" t="str">
        <f t="shared" si="7"/>
        <v>2025 Jul</v>
      </c>
    </row>
    <row r="461" spans="1:7">
      <c r="A461">
        <v>1460</v>
      </c>
      <c r="B461" t="s">
        <v>37</v>
      </c>
      <c r="C461" s="1">
        <v>45858</v>
      </c>
      <c r="D461" t="s">
        <v>8</v>
      </c>
      <c r="E461" t="s">
        <v>12</v>
      </c>
      <c r="F461" s="5">
        <v>65.040000000000006</v>
      </c>
      <c r="G461" s="4" t="str">
        <f t="shared" si="7"/>
        <v>2025 Jul</v>
      </c>
    </row>
    <row r="462" spans="1:7">
      <c r="A462">
        <v>1461</v>
      </c>
      <c r="B462" t="s">
        <v>44</v>
      </c>
      <c r="C462" s="1">
        <v>45859</v>
      </c>
      <c r="D462" t="s">
        <v>34</v>
      </c>
      <c r="E462" t="s">
        <v>18</v>
      </c>
      <c r="F462" s="5">
        <v>112.05</v>
      </c>
      <c r="G462" s="4" t="str">
        <f t="shared" si="7"/>
        <v>2025 Jul</v>
      </c>
    </row>
    <row r="463" spans="1:7">
      <c r="A463">
        <v>1462</v>
      </c>
      <c r="B463" t="s">
        <v>7</v>
      </c>
      <c r="C463" s="1">
        <v>45860</v>
      </c>
      <c r="D463" t="s">
        <v>30</v>
      </c>
      <c r="E463" t="s">
        <v>20</v>
      </c>
      <c r="F463" s="5">
        <v>158.65</v>
      </c>
      <c r="G463" s="4" t="str">
        <f t="shared" si="7"/>
        <v>2025 Jul</v>
      </c>
    </row>
    <row r="464" spans="1:7">
      <c r="A464">
        <v>1463</v>
      </c>
      <c r="B464" t="s">
        <v>49</v>
      </c>
      <c r="C464" s="1">
        <v>45861</v>
      </c>
      <c r="D464" t="s">
        <v>38</v>
      </c>
      <c r="E464" t="s">
        <v>12</v>
      </c>
      <c r="F464" s="5">
        <v>249.91</v>
      </c>
      <c r="G464" s="4" t="str">
        <f t="shared" si="7"/>
        <v>2025 Jul</v>
      </c>
    </row>
    <row r="465" spans="1:7">
      <c r="A465">
        <v>1464</v>
      </c>
      <c r="B465" t="s">
        <v>48</v>
      </c>
      <c r="C465" s="1">
        <v>45862</v>
      </c>
      <c r="D465" t="s">
        <v>26</v>
      </c>
      <c r="E465" t="s">
        <v>31</v>
      </c>
      <c r="F465" s="5">
        <v>163.02000000000001</v>
      </c>
      <c r="G465" s="4" t="str">
        <f t="shared" si="7"/>
        <v>2025 Jul</v>
      </c>
    </row>
    <row r="466" spans="1:7">
      <c r="A466">
        <v>1465</v>
      </c>
      <c r="B466" t="s">
        <v>44</v>
      </c>
      <c r="C466" s="1">
        <v>45863</v>
      </c>
      <c r="D466" t="s">
        <v>8</v>
      </c>
      <c r="E466" t="s">
        <v>18</v>
      </c>
      <c r="F466" s="5">
        <v>211.86</v>
      </c>
      <c r="G466" s="4" t="str">
        <f t="shared" si="7"/>
        <v>2025 Jul</v>
      </c>
    </row>
    <row r="467" spans="1:7">
      <c r="A467">
        <v>1466</v>
      </c>
      <c r="B467" t="s">
        <v>39</v>
      </c>
      <c r="C467" s="1">
        <v>45864</v>
      </c>
      <c r="D467" t="s">
        <v>14</v>
      </c>
      <c r="E467" t="s">
        <v>20</v>
      </c>
      <c r="F467" s="5">
        <v>79.349999999999994</v>
      </c>
      <c r="G467" s="4" t="str">
        <f t="shared" si="7"/>
        <v>2025 Jul</v>
      </c>
    </row>
    <row r="468" spans="1:7">
      <c r="A468">
        <v>1467</v>
      </c>
      <c r="B468" t="s">
        <v>13</v>
      </c>
      <c r="C468" s="1">
        <v>45865</v>
      </c>
      <c r="D468" t="s">
        <v>38</v>
      </c>
      <c r="E468" t="s">
        <v>16</v>
      </c>
      <c r="F468" s="5">
        <v>115.62</v>
      </c>
      <c r="G468" s="4" t="str">
        <f t="shared" si="7"/>
        <v>2025 Jul</v>
      </c>
    </row>
    <row r="469" spans="1:7">
      <c r="A469">
        <v>1468</v>
      </c>
      <c r="B469" t="s">
        <v>36</v>
      </c>
      <c r="C469" s="1">
        <v>45866</v>
      </c>
      <c r="D469" t="s">
        <v>29</v>
      </c>
      <c r="E469" t="s">
        <v>16</v>
      </c>
      <c r="F469" s="5">
        <v>331.33</v>
      </c>
      <c r="G469" s="4" t="str">
        <f t="shared" si="7"/>
        <v>2025 Jul</v>
      </c>
    </row>
    <row r="470" spans="1:7">
      <c r="A470">
        <v>1469</v>
      </c>
      <c r="B470" t="s">
        <v>28</v>
      </c>
      <c r="C470" s="1">
        <v>45867</v>
      </c>
      <c r="D470" t="s">
        <v>38</v>
      </c>
      <c r="E470" t="s">
        <v>47</v>
      </c>
      <c r="F470" s="5">
        <v>398.73</v>
      </c>
      <c r="G470" s="4" t="str">
        <f t="shared" si="7"/>
        <v>2025 Jul</v>
      </c>
    </row>
    <row r="471" spans="1:7">
      <c r="A471">
        <v>1470</v>
      </c>
      <c r="B471" t="s">
        <v>25</v>
      </c>
      <c r="C471" s="1">
        <v>45868</v>
      </c>
      <c r="D471" t="s">
        <v>35</v>
      </c>
      <c r="E471" t="s">
        <v>20</v>
      </c>
      <c r="F471" s="5">
        <v>481.6</v>
      </c>
      <c r="G471" s="4" t="str">
        <f t="shared" si="7"/>
        <v>2025 Jul</v>
      </c>
    </row>
    <row r="472" spans="1:7">
      <c r="A472">
        <v>1471</v>
      </c>
      <c r="B472" t="s">
        <v>45</v>
      </c>
      <c r="C472" s="1">
        <v>45869</v>
      </c>
      <c r="D472" t="s">
        <v>23</v>
      </c>
      <c r="E472" t="s">
        <v>31</v>
      </c>
      <c r="F472" s="5">
        <v>422.08</v>
      </c>
      <c r="G472" s="4" t="str">
        <f t="shared" si="7"/>
        <v>2025 Jul</v>
      </c>
    </row>
    <row r="473" spans="1:7">
      <c r="A473">
        <v>1472</v>
      </c>
      <c r="B473" t="s">
        <v>17</v>
      </c>
      <c r="C473" s="1">
        <v>45870</v>
      </c>
      <c r="D473" t="s">
        <v>29</v>
      </c>
      <c r="E473" t="s">
        <v>27</v>
      </c>
      <c r="F473" s="5">
        <v>270.81</v>
      </c>
      <c r="G473" s="4" t="str">
        <f t="shared" si="7"/>
        <v>2025 Aug</v>
      </c>
    </row>
    <row r="474" spans="1:7">
      <c r="A474">
        <v>1473</v>
      </c>
      <c r="B474" t="s">
        <v>49</v>
      </c>
      <c r="C474" s="1">
        <v>45871</v>
      </c>
      <c r="D474" t="s">
        <v>30</v>
      </c>
      <c r="E474" t="s">
        <v>20</v>
      </c>
      <c r="F474" s="5">
        <v>443.3</v>
      </c>
      <c r="G474" s="4" t="str">
        <f t="shared" si="7"/>
        <v>2025 Aug</v>
      </c>
    </row>
    <row r="475" spans="1:7">
      <c r="A475">
        <v>1474</v>
      </c>
      <c r="B475" t="s">
        <v>7</v>
      </c>
      <c r="C475" s="1">
        <v>45872</v>
      </c>
      <c r="D475" t="s">
        <v>23</v>
      </c>
      <c r="E475" t="s">
        <v>20</v>
      </c>
      <c r="F475" s="5">
        <v>334.35</v>
      </c>
      <c r="G475" s="4" t="str">
        <f t="shared" si="7"/>
        <v>2025 Aug</v>
      </c>
    </row>
    <row r="476" spans="1:7">
      <c r="A476">
        <v>1475</v>
      </c>
      <c r="B476" t="s">
        <v>45</v>
      </c>
      <c r="C476" s="1">
        <v>45873</v>
      </c>
      <c r="D476" t="s">
        <v>14</v>
      </c>
      <c r="E476" t="s">
        <v>47</v>
      </c>
      <c r="F476" s="5">
        <v>333.11</v>
      </c>
      <c r="G476" s="4" t="str">
        <f t="shared" si="7"/>
        <v>2025 Aug</v>
      </c>
    </row>
    <row r="477" spans="1:7">
      <c r="A477">
        <v>1476</v>
      </c>
      <c r="B477" t="s">
        <v>49</v>
      </c>
      <c r="C477" s="1">
        <v>45874</v>
      </c>
      <c r="D477" t="s">
        <v>23</v>
      </c>
      <c r="E477" t="s">
        <v>9</v>
      </c>
      <c r="F477" s="5">
        <v>436.31</v>
      </c>
      <c r="G477" s="4" t="str">
        <f t="shared" si="7"/>
        <v>2025 Aug</v>
      </c>
    </row>
    <row r="478" spans="1:7">
      <c r="A478">
        <v>1477</v>
      </c>
      <c r="B478" t="s">
        <v>36</v>
      </c>
      <c r="C478" s="1">
        <v>45875</v>
      </c>
      <c r="D478" t="s">
        <v>11</v>
      </c>
      <c r="E478" t="s">
        <v>12</v>
      </c>
      <c r="F478" s="5">
        <v>131.58000000000001</v>
      </c>
      <c r="G478" s="4" t="str">
        <f t="shared" si="7"/>
        <v>2025 Aug</v>
      </c>
    </row>
    <row r="479" spans="1:7">
      <c r="A479">
        <v>1478</v>
      </c>
      <c r="B479" t="s">
        <v>48</v>
      </c>
      <c r="C479" s="1">
        <v>45876</v>
      </c>
      <c r="D479" t="s">
        <v>11</v>
      </c>
      <c r="E479" t="s">
        <v>46</v>
      </c>
      <c r="F479" s="5">
        <v>95.4</v>
      </c>
      <c r="G479" s="4" t="str">
        <f t="shared" si="7"/>
        <v>2025 Aug</v>
      </c>
    </row>
    <row r="480" spans="1:7">
      <c r="A480">
        <v>1479</v>
      </c>
      <c r="B480" t="s">
        <v>37</v>
      </c>
      <c r="C480" s="1">
        <v>45877</v>
      </c>
      <c r="D480" t="s">
        <v>40</v>
      </c>
      <c r="E480" t="s">
        <v>47</v>
      </c>
      <c r="F480" s="5">
        <v>498.07</v>
      </c>
      <c r="G480" s="4" t="str">
        <f t="shared" si="7"/>
        <v>2025 Aug</v>
      </c>
    </row>
    <row r="481" spans="1:7">
      <c r="A481">
        <v>1480</v>
      </c>
      <c r="B481" t="s">
        <v>37</v>
      </c>
      <c r="C481" s="1">
        <v>45878</v>
      </c>
      <c r="D481" t="s">
        <v>35</v>
      </c>
      <c r="E481" t="s">
        <v>9</v>
      </c>
      <c r="F481" s="5">
        <v>493.6</v>
      </c>
      <c r="G481" s="4" t="str">
        <f t="shared" si="7"/>
        <v>2025 Aug</v>
      </c>
    </row>
    <row r="482" spans="1:7">
      <c r="A482">
        <v>1481</v>
      </c>
      <c r="B482" t="s">
        <v>25</v>
      </c>
      <c r="C482" s="1">
        <v>45879</v>
      </c>
      <c r="D482" t="s">
        <v>30</v>
      </c>
      <c r="E482" t="s">
        <v>27</v>
      </c>
      <c r="F482" s="5">
        <v>49.09</v>
      </c>
      <c r="G482" s="4" t="str">
        <f t="shared" si="7"/>
        <v>2025 Aug</v>
      </c>
    </row>
    <row r="483" spans="1:7">
      <c r="A483">
        <v>1482</v>
      </c>
      <c r="B483" t="s">
        <v>49</v>
      </c>
      <c r="C483" s="1">
        <v>45880</v>
      </c>
      <c r="D483" t="s">
        <v>30</v>
      </c>
      <c r="E483" t="s">
        <v>20</v>
      </c>
      <c r="F483" s="5">
        <v>114.19</v>
      </c>
      <c r="G483" s="4" t="str">
        <f t="shared" si="7"/>
        <v>2025 Aug</v>
      </c>
    </row>
    <row r="484" spans="1:7">
      <c r="A484">
        <v>1483</v>
      </c>
      <c r="B484" t="s">
        <v>17</v>
      </c>
      <c r="C484" s="1">
        <v>45881</v>
      </c>
      <c r="D484" t="s">
        <v>35</v>
      </c>
      <c r="E484" t="s">
        <v>16</v>
      </c>
      <c r="F484" s="5">
        <v>160.86000000000001</v>
      </c>
      <c r="G484" s="4" t="str">
        <f t="shared" si="7"/>
        <v>2025 Aug</v>
      </c>
    </row>
    <row r="485" spans="1:7">
      <c r="A485">
        <v>1484</v>
      </c>
      <c r="B485" t="s">
        <v>39</v>
      </c>
      <c r="C485" s="1">
        <v>45882</v>
      </c>
      <c r="D485" t="s">
        <v>40</v>
      </c>
      <c r="E485" t="s">
        <v>24</v>
      </c>
      <c r="F485" s="5">
        <v>171.16</v>
      </c>
      <c r="G485" s="4" t="str">
        <f t="shared" si="7"/>
        <v>2025 Aug</v>
      </c>
    </row>
    <row r="486" spans="1:7">
      <c r="A486">
        <v>1485</v>
      </c>
      <c r="B486" t="s">
        <v>32</v>
      </c>
      <c r="C486" s="1">
        <v>45883</v>
      </c>
      <c r="D486" t="s">
        <v>26</v>
      </c>
      <c r="E486" t="s">
        <v>27</v>
      </c>
      <c r="F486" s="5">
        <v>180.99</v>
      </c>
      <c r="G486" s="4" t="str">
        <f t="shared" si="7"/>
        <v>2025 Aug</v>
      </c>
    </row>
    <row r="487" spans="1:7">
      <c r="A487">
        <v>1486</v>
      </c>
      <c r="B487" t="s">
        <v>48</v>
      </c>
      <c r="C487" s="1">
        <v>45884</v>
      </c>
      <c r="D487" t="s">
        <v>40</v>
      </c>
      <c r="E487" t="s">
        <v>20</v>
      </c>
      <c r="F487" s="5">
        <v>340.87</v>
      </c>
      <c r="G487" s="4" t="str">
        <f t="shared" si="7"/>
        <v>2025 Aug</v>
      </c>
    </row>
    <row r="488" spans="1:7">
      <c r="A488">
        <v>1487</v>
      </c>
      <c r="B488" t="s">
        <v>21</v>
      </c>
      <c r="C488" s="1">
        <v>45885</v>
      </c>
      <c r="D488" t="s">
        <v>14</v>
      </c>
      <c r="E488" t="s">
        <v>18</v>
      </c>
      <c r="F488" s="5">
        <v>46.26</v>
      </c>
      <c r="G488" s="4" t="str">
        <f t="shared" si="7"/>
        <v>2025 Aug</v>
      </c>
    </row>
    <row r="489" spans="1:7">
      <c r="A489">
        <v>1488</v>
      </c>
      <c r="B489" t="s">
        <v>41</v>
      </c>
      <c r="C489" s="1">
        <v>45886</v>
      </c>
      <c r="D489" t="s">
        <v>34</v>
      </c>
      <c r="E489" t="s">
        <v>31</v>
      </c>
      <c r="F489" s="5">
        <v>206.31</v>
      </c>
      <c r="G489" s="4" t="str">
        <f t="shared" si="7"/>
        <v>2025 Aug</v>
      </c>
    </row>
    <row r="490" spans="1:7">
      <c r="A490">
        <v>1489</v>
      </c>
      <c r="B490" t="s">
        <v>28</v>
      </c>
      <c r="C490" s="1">
        <v>45887</v>
      </c>
      <c r="D490" t="s">
        <v>34</v>
      </c>
      <c r="E490" t="s">
        <v>31</v>
      </c>
      <c r="F490" s="5">
        <v>312.05</v>
      </c>
      <c r="G490" s="4" t="str">
        <f t="shared" si="7"/>
        <v>2025 Aug</v>
      </c>
    </row>
    <row r="491" spans="1:7">
      <c r="A491">
        <v>1490</v>
      </c>
      <c r="B491" t="s">
        <v>13</v>
      </c>
      <c r="C491" s="1">
        <v>45888</v>
      </c>
      <c r="D491" t="s">
        <v>35</v>
      </c>
      <c r="E491" t="s">
        <v>18</v>
      </c>
      <c r="F491" s="5">
        <v>129.74</v>
      </c>
      <c r="G491" s="4" t="str">
        <f t="shared" si="7"/>
        <v>2025 Aug</v>
      </c>
    </row>
    <row r="492" spans="1:7">
      <c r="A492">
        <v>1491</v>
      </c>
      <c r="B492" t="s">
        <v>39</v>
      </c>
      <c r="C492" s="1">
        <v>45889</v>
      </c>
      <c r="D492" t="s">
        <v>23</v>
      </c>
      <c r="E492" t="s">
        <v>12</v>
      </c>
      <c r="F492" s="5">
        <v>322.60000000000002</v>
      </c>
      <c r="G492" s="4" t="str">
        <f t="shared" si="7"/>
        <v>2025 Aug</v>
      </c>
    </row>
    <row r="493" spans="1:7">
      <c r="A493">
        <v>1492</v>
      </c>
      <c r="B493" t="s">
        <v>37</v>
      </c>
      <c r="C493" s="1">
        <v>45890</v>
      </c>
      <c r="D493" t="s">
        <v>29</v>
      </c>
      <c r="E493" t="s">
        <v>16</v>
      </c>
      <c r="F493" s="5">
        <v>219.46</v>
      </c>
      <c r="G493" s="4" t="str">
        <f t="shared" si="7"/>
        <v>2025 Aug</v>
      </c>
    </row>
    <row r="494" spans="1:7">
      <c r="A494">
        <v>1493</v>
      </c>
      <c r="B494" t="s">
        <v>32</v>
      </c>
      <c r="C494" s="1">
        <v>45891</v>
      </c>
      <c r="D494" t="s">
        <v>26</v>
      </c>
      <c r="E494" t="s">
        <v>47</v>
      </c>
      <c r="F494" s="5">
        <v>452.17</v>
      </c>
      <c r="G494" s="4" t="str">
        <f t="shared" si="7"/>
        <v>2025 Aug</v>
      </c>
    </row>
    <row r="495" spans="1:7">
      <c r="A495">
        <v>1494</v>
      </c>
      <c r="B495" t="s">
        <v>36</v>
      </c>
      <c r="C495" s="1">
        <v>45892</v>
      </c>
      <c r="D495" t="s">
        <v>29</v>
      </c>
      <c r="E495" t="s">
        <v>9</v>
      </c>
      <c r="F495" s="5">
        <v>298.79000000000002</v>
      </c>
      <c r="G495" s="4" t="str">
        <f t="shared" si="7"/>
        <v>2025 Aug</v>
      </c>
    </row>
    <row r="496" spans="1:7">
      <c r="A496">
        <v>1495</v>
      </c>
      <c r="B496" t="s">
        <v>19</v>
      </c>
      <c r="C496" s="1">
        <v>45893</v>
      </c>
      <c r="D496" t="s">
        <v>8</v>
      </c>
      <c r="E496" t="s">
        <v>9</v>
      </c>
      <c r="F496" s="5">
        <v>44.09</v>
      </c>
      <c r="G496" s="4" t="str">
        <f t="shared" si="7"/>
        <v>2025 Aug</v>
      </c>
    </row>
    <row r="497" spans="1:7">
      <c r="A497">
        <v>1496</v>
      </c>
      <c r="B497" t="s">
        <v>44</v>
      </c>
      <c r="C497" s="1">
        <v>45894</v>
      </c>
      <c r="D497" t="s">
        <v>26</v>
      </c>
      <c r="E497" t="s">
        <v>18</v>
      </c>
      <c r="F497" s="5">
        <v>495.46</v>
      </c>
      <c r="G497" s="4" t="str">
        <f t="shared" si="7"/>
        <v>2025 Aug</v>
      </c>
    </row>
    <row r="498" spans="1:7">
      <c r="A498">
        <v>1497</v>
      </c>
      <c r="B498" t="s">
        <v>25</v>
      </c>
      <c r="C498" s="1">
        <v>45895</v>
      </c>
      <c r="D498" t="s">
        <v>11</v>
      </c>
      <c r="E498" t="s">
        <v>24</v>
      </c>
      <c r="F498" s="5">
        <v>267.73</v>
      </c>
      <c r="G498" s="4" t="str">
        <f t="shared" si="7"/>
        <v>2025 Aug</v>
      </c>
    </row>
    <row r="499" spans="1:7">
      <c r="A499">
        <v>1498</v>
      </c>
      <c r="B499" t="s">
        <v>41</v>
      </c>
      <c r="C499" s="1">
        <v>45896</v>
      </c>
      <c r="D499" t="s">
        <v>11</v>
      </c>
      <c r="E499" t="s">
        <v>12</v>
      </c>
      <c r="F499" s="5">
        <v>213.04</v>
      </c>
      <c r="G499" s="4" t="str">
        <f t="shared" si="7"/>
        <v>2025 Aug</v>
      </c>
    </row>
    <row r="500" spans="1:7">
      <c r="A500">
        <v>1499</v>
      </c>
      <c r="B500" t="s">
        <v>49</v>
      </c>
      <c r="C500" s="1">
        <v>45897</v>
      </c>
      <c r="D500" t="s">
        <v>34</v>
      </c>
      <c r="E500" t="s">
        <v>16</v>
      </c>
      <c r="F500" s="5">
        <v>67.11</v>
      </c>
      <c r="G500" s="4" t="str">
        <f t="shared" si="7"/>
        <v>2025 Aug</v>
      </c>
    </row>
    <row r="501" spans="1:7">
      <c r="A501">
        <v>1500</v>
      </c>
      <c r="B501" t="s">
        <v>22</v>
      </c>
      <c r="C501" s="1">
        <v>45898</v>
      </c>
      <c r="D501" t="s">
        <v>40</v>
      </c>
      <c r="E501" t="s">
        <v>24</v>
      </c>
      <c r="F501" s="5">
        <v>284.05</v>
      </c>
      <c r="G501" s="4" t="str">
        <f t="shared" si="7"/>
        <v>2025 Aug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A5A4-47AE-4DF6-9768-E517040A0F2F}">
  <dimension ref="A2:C80"/>
  <sheetViews>
    <sheetView topLeftCell="A20" workbookViewId="0">
      <selection activeCell="B26" sqref="B26"/>
    </sheetView>
  </sheetViews>
  <sheetFormatPr defaultRowHeight="15"/>
  <cols>
    <col min="1" max="1" width="24.7109375" customWidth="1"/>
    <col min="2" max="2" width="19" customWidth="1"/>
    <col min="3" max="3" width="18.85546875" bestFit="1" customWidth="1"/>
    <col min="4" max="4" width="11.7109375" bestFit="1" customWidth="1"/>
    <col min="5" max="5" width="13.28515625" bestFit="1" customWidth="1"/>
    <col min="6" max="6" width="10.5703125" bestFit="1" customWidth="1"/>
    <col min="7" max="7" width="13.7109375" bestFit="1" customWidth="1"/>
    <col min="8" max="8" width="12" bestFit="1" customWidth="1"/>
    <col min="9" max="9" width="13.85546875" bestFit="1" customWidth="1"/>
    <col min="10" max="10" width="11.5703125" bestFit="1" customWidth="1"/>
    <col min="11" max="11" width="11.7109375" bestFit="1" customWidth="1"/>
    <col min="12" max="12" width="11.5703125" bestFit="1" customWidth="1"/>
    <col min="13" max="13" width="14.140625" bestFit="1" customWidth="1"/>
    <col min="14" max="14" width="13.5703125" bestFit="1" customWidth="1"/>
    <col min="15" max="15" width="12" bestFit="1" customWidth="1"/>
    <col min="16" max="16" width="10" bestFit="1" customWidth="1"/>
    <col min="17" max="17" width="16.42578125" bestFit="1" customWidth="1"/>
    <col min="18" max="18" width="15.5703125" bestFit="1" customWidth="1"/>
    <col min="19" max="20" width="13.7109375" bestFit="1" customWidth="1"/>
    <col min="21" max="21" width="12.7109375" bestFit="1" customWidth="1"/>
    <col min="22" max="22" width="11.7109375" bestFit="1" customWidth="1"/>
    <col min="23" max="69" width="6" bestFit="1" customWidth="1"/>
    <col min="70" max="247" width="7.140625" bestFit="1" customWidth="1"/>
    <col min="248" max="248" width="8.28515625" bestFit="1" customWidth="1"/>
    <col min="249" max="496" width="7.140625" bestFit="1" customWidth="1"/>
    <col min="497" max="497" width="11.7109375" bestFit="1" customWidth="1"/>
    <col min="498" max="501" width="5.42578125" bestFit="1" customWidth="1"/>
    <col min="502" max="502" width="11.7109375" bestFit="1" customWidth="1"/>
  </cols>
  <sheetData>
    <row r="2" spans="1:2">
      <c r="A2" s="8" t="s">
        <v>50</v>
      </c>
      <c r="B2" s="8"/>
    </row>
    <row r="3" spans="1:2">
      <c r="A3" s="3" t="s">
        <v>3</v>
      </c>
      <c r="B3" t="s">
        <v>51</v>
      </c>
    </row>
    <row r="4" spans="1:2">
      <c r="A4" t="s">
        <v>42</v>
      </c>
      <c r="B4" s="2">
        <v>206.47333333333333</v>
      </c>
    </row>
    <row r="5" spans="1:2">
      <c r="A5" t="s">
        <v>38</v>
      </c>
      <c r="B5" s="2">
        <v>240.50853658536587</v>
      </c>
    </row>
    <row r="6" spans="1:2">
      <c r="A6" t="s">
        <v>8</v>
      </c>
      <c r="B6" s="2">
        <v>240.58976190476187</v>
      </c>
    </row>
    <row r="7" spans="1:2">
      <c r="A7" t="s">
        <v>14</v>
      </c>
      <c r="B7" s="2">
        <v>242.23349999999999</v>
      </c>
    </row>
    <row r="8" spans="1:2">
      <c r="A8" t="s">
        <v>34</v>
      </c>
      <c r="B8" s="2">
        <v>263.30105263157895</v>
      </c>
    </row>
    <row r="9" spans="1:2">
      <c r="A9" t="s">
        <v>33</v>
      </c>
      <c r="B9" s="2">
        <v>263.6444736842106</v>
      </c>
    </row>
    <row r="10" spans="1:2">
      <c r="A10" t="s">
        <v>30</v>
      </c>
      <c r="B10" s="2">
        <v>269.79290322580641</v>
      </c>
    </row>
    <row r="11" spans="1:2">
      <c r="A11" t="s">
        <v>35</v>
      </c>
      <c r="B11" s="2">
        <v>270.23596153846159</v>
      </c>
    </row>
    <row r="12" spans="1:2">
      <c r="A12" t="s">
        <v>11</v>
      </c>
      <c r="B12" s="2">
        <v>273.51416666666665</v>
      </c>
    </row>
    <row r="13" spans="1:2">
      <c r="A13" t="s">
        <v>29</v>
      </c>
      <c r="B13" s="2">
        <v>279.85111111111109</v>
      </c>
    </row>
    <row r="14" spans="1:2">
      <c r="A14" t="s">
        <v>23</v>
      </c>
      <c r="B14" s="2">
        <v>289.66180000000003</v>
      </c>
    </row>
    <row r="15" spans="1:2">
      <c r="A15" t="s">
        <v>26</v>
      </c>
      <c r="B15" s="2">
        <v>303.74028571428568</v>
      </c>
    </row>
    <row r="16" spans="1:2">
      <c r="A16" t="s">
        <v>40</v>
      </c>
      <c r="B16" s="2">
        <v>306.12632653061223</v>
      </c>
    </row>
    <row r="17" spans="1:2">
      <c r="A17" t="s">
        <v>52</v>
      </c>
      <c r="B17" s="2">
        <v>270.53631999999988</v>
      </c>
    </row>
    <row r="22" spans="1:2">
      <c r="A22" s="8" t="s">
        <v>53</v>
      </c>
      <c r="B22" s="8"/>
    </row>
    <row r="23" spans="1:2">
      <c r="A23" s="3" t="s">
        <v>1</v>
      </c>
      <c r="B23" t="s">
        <v>54</v>
      </c>
    </row>
    <row r="24" spans="1:2">
      <c r="A24" t="s">
        <v>25</v>
      </c>
      <c r="B24" s="4">
        <v>36</v>
      </c>
    </row>
    <row r="25" spans="1:2">
      <c r="A25" t="s">
        <v>44</v>
      </c>
      <c r="B25" s="4">
        <v>32</v>
      </c>
    </row>
    <row r="26" spans="1:2">
      <c r="A26" t="s">
        <v>7</v>
      </c>
      <c r="B26" s="4">
        <v>31</v>
      </c>
    </row>
    <row r="27" spans="1:2">
      <c r="A27" t="s">
        <v>36</v>
      </c>
      <c r="B27" s="4">
        <v>31</v>
      </c>
    </row>
    <row r="28" spans="1:2">
      <c r="A28" t="s">
        <v>22</v>
      </c>
      <c r="B28" s="4">
        <v>31</v>
      </c>
    </row>
    <row r="29" spans="1:2">
      <c r="A29" t="s">
        <v>41</v>
      </c>
      <c r="B29" s="4">
        <v>29</v>
      </c>
    </row>
    <row r="30" spans="1:2">
      <c r="A30" t="s">
        <v>19</v>
      </c>
      <c r="B30" s="4">
        <v>27</v>
      </c>
    </row>
    <row r="31" spans="1:2">
      <c r="A31" t="s">
        <v>39</v>
      </c>
      <c r="B31" s="4">
        <v>26</v>
      </c>
    </row>
    <row r="32" spans="1:2">
      <c r="A32" t="s">
        <v>43</v>
      </c>
      <c r="B32" s="4">
        <v>26</v>
      </c>
    </row>
    <row r="33" spans="1:3">
      <c r="A33" t="s">
        <v>32</v>
      </c>
      <c r="B33" s="4">
        <v>24</v>
      </c>
    </row>
    <row r="34" spans="1:3">
      <c r="A34" t="s">
        <v>28</v>
      </c>
      <c r="B34" s="4">
        <v>23</v>
      </c>
    </row>
    <row r="35" spans="1:3">
      <c r="A35" t="s">
        <v>17</v>
      </c>
      <c r="B35" s="4">
        <v>23</v>
      </c>
    </row>
    <row r="36" spans="1:3">
      <c r="A36" t="s">
        <v>49</v>
      </c>
      <c r="B36" s="4">
        <v>23</v>
      </c>
    </row>
    <row r="37" spans="1:3">
      <c r="A37" t="s">
        <v>45</v>
      </c>
      <c r="B37" s="4">
        <v>23</v>
      </c>
    </row>
    <row r="38" spans="1:3">
      <c r="A38" t="s">
        <v>15</v>
      </c>
      <c r="B38" s="4">
        <v>22</v>
      </c>
    </row>
    <row r="39" spans="1:3">
      <c r="A39" t="s">
        <v>48</v>
      </c>
      <c r="B39" s="4">
        <v>21</v>
      </c>
    </row>
    <row r="40" spans="1:3">
      <c r="A40" t="s">
        <v>37</v>
      </c>
      <c r="B40" s="4">
        <v>21</v>
      </c>
    </row>
    <row r="41" spans="1:3">
      <c r="A41" t="s">
        <v>13</v>
      </c>
      <c r="B41" s="4">
        <v>19</v>
      </c>
    </row>
    <row r="42" spans="1:3">
      <c r="A42" t="s">
        <v>10</v>
      </c>
      <c r="B42" s="4">
        <v>17</v>
      </c>
    </row>
    <row r="43" spans="1:3">
      <c r="A43" t="s">
        <v>21</v>
      </c>
      <c r="B43" s="4">
        <v>15</v>
      </c>
    </row>
    <row r="44" spans="1:3">
      <c r="A44" t="s">
        <v>52</v>
      </c>
      <c r="B44" s="4">
        <v>500</v>
      </c>
    </row>
    <row r="48" spans="1:3">
      <c r="A48" s="8" t="s">
        <v>55</v>
      </c>
      <c r="B48" s="8"/>
      <c r="C48" s="8"/>
    </row>
    <row r="49" spans="1:2">
      <c r="A49" s="3" t="s">
        <v>4</v>
      </c>
      <c r="B49" t="s">
        <v>56</v>
      </c>
    </row>
    <row r="50" spans="1:2">
      <c r="A50" t="s">
        <v>27</v>
      </c>
      <c r="B50" s="2">
        <v>15850.44</v>
      </c>
    </row>
    <row r="51" spans="1:2">
      <c r="A51" t="s">
        <v>9</v>
      </c>
      <c r="B51" s="2">
        <v>15740.41</v>
      </c>
    </row>
    <row r="52" spans="1:2">
      <c r="A52" t="s">
        <v>20</v>
      </c>
      <c r="B52" s="2">
        <v>15534.210000000005</v>
      </c>
    </row>
    <row r="53" spans="1:2">
      <c r="A53" t="s">
        <v>18</v>
      </c>
      <c r="B53" s="2">
        <v>14655.479999999998</v>
      </c>
    </row>
    <row r="54" spans="1:2">
      <c r="A54" t="s">
        <v>16</v>
      </c>
      <c r="B54" s="2">
        <v>13744.560000000001</v>
      </c>
    </row>
    <row r="55" spans="1:2">
      <c r="A55" t="s">
        <v>12</v>
      </c>
      <c r="B55" s="2">
        <v>13321.810000000001</v>
      </c>
    </row>
    <row r="56" spans="1:2">
      <c r="A56" t="s">
        <v>47</v>
      </c>
      <c r="B56" s="2">
        <v>12827.660000000002</v>
      </c>
    </row>
    <row r="57" spans="1:2">
      <c r="A57" t="s">
        <v>31</v>
      </c>
      <c r="B57" s="2">
        <v>11850.989999999996</v>
      </c>
    </row>
    <row r="58" spans="1:2">
      <c r="A58" t="s">
        <v>24</v>
      </c>
      <c r="B58" s="2">
        <v>10419.489999999998</v>
      </c>
    </row>
    <row r="59" spans="1:2">
      <c r="A59" t="s">
        <v>46</v>
      </c>
      <c r="B59" s="2">
        <v>9803.07</v>
      </c>
    </row>
    <row r="60" spans="1:2">
      <c r="A60" t="s">
        <v>42</v>
      </c>
      <c r="B60" s="2">
        <v>1520.04</v>
      </c>
    </row>
    <row r="61" spans="1:2">
      <c r="A61" t="s">
        <v>52</v>
      </c>
      <c r="B61" s="2">
        <v>135268.16</v>
      </c>
    </row>
    <row r="65" spans="1:2">
      <c r="A65" s="9" t="s">
        <v>57</v>
      </c>
      <c r="B65" s="9"/>
    </row>
    <row r="66" spans="1:2">
      <c r="A66" s="3" t="s">
        <v>3</v>
      </c>
      <c r="B66" t="s">
        <v>58</v>
      </c>
    </row>
    <row r="67" spans="1:2">
      <c r="A67" t="s">
        <v>42</v>
      </c>
      <c r="B67" s="4">
        <v>3</v>
      </c>
    </row>
    <row r="68" spans="1:2">
      <c r="A68" t="s">
        <v>30</v>
      </c>
      <c r="B68" s="4">
        <v>31</v>
      </c>
    </row>
    <row r="69" spans="1:2">
      <c r="A69" t="s">
        <v>26</v>
      </c>
      <c r="B69" s="4">
        <v>35</v>
      </c>
    </row>
    <row r="70" spans="1:2">
      <c r="A70" t="s">
        <v>11</v>
      </c>
      <c r="B70" s="4">
        <v>36</v>
      </c>
    </row>
    <row r="71" spans="1:2">
      <c r="A71" t="s">
        <v>34</v>
      </c>
      <c r="B71" s="4">
        <v>38</v>
      </c>
    </row>
    <row r="72" spans="1:2">
      <c r="A72" t="s">
        <v>33</v>
      </c>
      <c r="B72" s="4">
        <v>38</v>
      </c>
    </row>
    <row r="73" spans="1:2">
      <c r="A73" t="s">
        <v>14</v>
      </c>
      <c r="B73" s="4">
        <v>40</v>
      </c>
    </row>
    <row r="74" spans="1:2">
      <c r="A74" t="s">
        <v>38</v>
      </c>
      <c r="B74" s="4">
        <v>41</v>
      </c>
    </row>
    <row r="75" spans="1:2">
      <c r="A75" t="s">
        <v>8</v>
      </c>
      <c r="B75" s="4">
        <v>42</v>
      </c>
    </row>
    <row r="76" spans="1:2">
      <c r="A76" t="s">
        <v>29</v>
      </c>
      <c r="B76" s="4">
        <v>45</v>
      </c>
    </row>
    <row r="77" spans="1:2">
      <c r="A77" t="s">
        <v>40</v>
      </c>
      <c r="B77" s="4">
        <v>49</v>
      </c>
    </row>
    <row r="78" spans="1:2">
      <c r="A78" t="s">
        <v>23</v>
      </c>
      <c r="B78" s="4">
        <v>50</v>
      </c>
    </row>
    <row r="79" spans="1:2">
      <c r="A79" t="s">
        <v>35</v>
      </c>
      <c r="B79" s="4">
        <v>52</v>
      </c>
    </row>
    <row r="80" spans="1:2">
      <c r="A80" t="s">
        <v>52</v>
      </c>
      <c r="B80" s="4">
        <v>500</v>
      </c>
    </row>
  </sheetData>
  <mergeCells count="4">
    <mergeCell ref="A2:B2"/>
    <mergeCell ref="A22:B22"/>
    <mergeCell ref="A48:C48"/>
    <mergeCell ref="A65:B65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3B4A-667A-41C3-9DE9-E72AE265DABB}">
  <dimension ref="A1:U7"/>
  <sheetViews>
    <sheetView showGridLines="0" tabSelected="1" workbookViewId="0">
      <selection activeCell="W12" sqref="W12"/>
    </sheetView>
  </sheetViews>
  <sheetFormatPr defaultRowHeight="15"/>
  <sheetData>
    <row r="1" spans="1:21" ht="15" customHeight="1">
      <c r="A1" s="7" t="s">
        <v>59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6"/>
    </row>
    <row r="2" spans="1:21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6"/>
    </row>
    <row r="3" spans="1:21" ht="1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6"/>
    </row>
    <row r="4" spans="1:21" ht="1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6"/>
    </row>
    <row r="5" spans="1:21" ht="1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6"/>
    </row>
    <row r="6" spans="1:21" ht="1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6"/>
    </row>
    <row r="7" spans="1:21" ht="1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6"/>
    </row>
  </sheetData>
  <mergeCells count="1">
    <mergeCell ref="A1:T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2026-08-23T19:33:09Z</dcterms:created>
  <dcterms:modified xsi:type="dcterms:W3CDTF">2026-09-22T10:25:10Z</dcterms:modified>
  <cp:category/>
  <cp:contentStatus/>
</cp:coreProperties>
</file>